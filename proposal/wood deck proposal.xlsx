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Geo Carpentry\proposal\"/>
    </mc:Choice>
  </mc:AlternateContent>
  <xr:revisionPtr revIDLastSave="0" documentId="13_ncr:1_{3EB663FB-AF40-4AF0-B94C-75AE8163D080}" xr6:coauthVersionLast="47" xr6:coauthVersionMax="47" xr10:uidLastSave="{00000000-0000-0000-0000-000000000000}"/>
  <bookViews>
    <workbookView xWindow="-120" yWindow="-120" windowWidth="29040" windowHeight="15720" xr2:uid="{DEC7E77A-83D2-493C-ABA3-F3FE7D443E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15" i="1"/>
  <c r="D15" i="1" s="1"/>
  <c r="E15" i="1" s="1"/>
  <c r="F15" i="1" s="1"/>
  <c r="B14" i="1"/>
  <c r="D14" i="1" s="1"/>
  <c r="E14" i="1" s="1"/>
  <c r="F14" i="1" s="1"/>
  <c r="B13" i="1"/>
  <c r="C13" i="1"/>
  <c r="B12" i="1"/>
  <c r="D12" i="1" s="1"/>
  <c r="E12" i="1" s="1"/>
  <c r="F12" i="1" s="1"/>
  <c r="C28" i="1"/>
  <c r="D28" i="1" s="1"/>
  <c r="E28" i="1" s="1"/>
  <c r="F28" i="1" s="1"/>
  <c r="D29" i="1"/>
  <c r="E29" i="1" s="1"/>
  <c r="F29" i="1" s="1"/>
  <c r="D27" i="1"/>
  <c r="E27" i="1" s="1"/>
  <c r="F27" i="1" s="1"/>
  <c r="D26" i="1"/>
  <c r="E26" i="1" s="1"/>
  <c r="F26" i="1" s="1"/>
  <c r="D23" i="1"/>
  <c r="E23" i="1" s="1"/>
  <c r="E6" i="1"/>
  <c r="E8" i="1" s="1"/>
  <c r="D13" i="1" l="1"/>
  <c r="E13" i="1" s="1"/>
  <c r="F13" i="1" s="1"/>
  <c r="F17" i="1" s="1"/>
  <c r="F19" i="1" s="1"/>
  <c r="F35" i="1" s="1"/>
  <c r="F33" i="1"/>
  <c r="F37" i="1" l="1"/>
  <c r="F23" i="1"/>
  <c r="G23" i="1" s="1"/>
  <c r="G35" i="1" s="1"/>
</calcChain>
</file>

<file path=xl/sharedStrings.xml><?xml version="1.0" encoding="utf-8"?>
<sst xmlns="http://schemas.openxmlformats.org/spreadsheetml/2006/main" count="203" uniqueCount="167">
  <si>
    <t>BUILD DECK COST</t>
  </si>
  <si>
    <t>MENARDS DESIGN COST</t>
  </si>
  <si>
    <t>DELIVERY FEES</t>
  </si>
  <si>
    <t>TAX</t>
  </si>
  <si>
    <t>TOTAL MATERIALS</t>
  </si>
  <si>
    <t>LABOR</t>
  </si>
  <si>
    <t>WIDTH</t>
  </si>
  <si>
    <t>LENTH</t>
  </si>
  <si>
    <t>SF</t>
  </si>
  <si>
    <t>WASTE</t>
  </si>
  <si>
    <t>Price SF</t>
  </si>
  <si>
    <t>Labor Rates:</t>
  </si>
  <si>
    <t>Deck Builder: $40-$65/hour</t>
  </si>
  <si>
    <t>Average Project: 24-40 hours</t>
  </si>
  <si>
    <t>Labor Cost: $960-$2,600</t>
  </si>
  <si>
    <t>Material Costs (per sq ft):</t>
  </si>
  <si>
    <t>Cedar: $15-$25</t>
  </si>
  <si>
    <t>Composite: $25-$45</t>
  </si>
  <si>
    <t>Exotic Hardwoods: $35-$60</t>
  </si>
  <si>
    <t>Total Project Costs:</t>
  </si>
  <si>
    <t>Basic 12x16 Deck (192 sf): $3,000-$6,000</t>
  </si>
  <si>
    <t>Mid-Range 16x20 Deck (320 sf): $6,500-$12,000</t>
  </si>
  <si>
    <t>Frost line requirements</t>
  </si>
  <si>
    <t>Seasonal construction window</t>
  </si>
  <si>
    <t>Local permit costs: $150-$500</t>
  </si>
  <si>
    <t>Railings: $20-$60 per linear foot</t>
  </si>
  <si>
    <t>Stairs: $300-$800 per step set</t>
  </si>
  <si>
    <t>Labor to make the footers</t>
  </si>
  <si>
    <t>DESCRIPTION</t>
  </si>
  <si>
    <t>UNIT COST</t>
  </si>
  <si>
    <t>QT</t>
  </si>
  <si>
    <t>TOTAL</t>
  </si>
  <si>
    <t>SUB-TT</t>
  </si>
  <si>
    <t>Labor to make the deck</t>
  </si>
  <si>
    <t>Labor to make the Railing</t>
  </si>
  <si>
    <t>Labor to make the Stairs</t>
  </si>
  <si>
    <t>Wisconsin Deck Construction Cost: 427.8 SF</t>
  </si>
  <si>
    <t>Labor Cost:</t>
  </si>
  <si>
    <t>Deck Builder Rate: $50/hour (average)</t>
  </si>
  <si>
    <t>Estimated Hours: 32-40 hours</t>
  </si>
  <si>
    <t>Labor Cost: $1,600 - $2,000</t>
  </si>
  <si>
    <t>Material Costs by Type:</t>
  </si>
  <si>
    <t>Pressure-Treated Pine: $3,422 - $6,417</t>
  </si>
  <si>
    <t>Cedar: $6,417 - $10,695</t>
  </si>
  <si>
    <t>Composite: $10,695 - $19,251</t>
  </si>
  <si>
    <t>Total Project Cost Estimates:</t>
  </si>
  <si>
    <t>Budget Build: $5,022 - $8,417</t>
  </si>
  <si>
    <t>Mid-Range: $8,017 - $12,695</t>
  </si>
  <si>
    <t>Premium: $12,295 - $21,251</t>
  </si>
  <si>
    <t>Additional Wisconsin Considerations:</t>
  </si>
  <si>
    <t>Foundation/Footings: $800-$1,200</t>
  </si>
  <si>
    <t>Permits: $150-$400</t>
  </si>
  <si>
    <t>Railings (estimated 60 linear feet): $1,200-$3,600</t>
  </si>
  <si>
    <t>Most Common Choice: Pressure-treated with basic railings: $6,500-$9,000 total</t>
  </si>
  <si>
    <t>Need specific material recommendations or labor breakdown?</t>
  </si>
  <si>
    <t>16" sonotube for footers</t>
  </si>
  <si>
    <t>concrete bags @13 bags x tube</t>
  </si>
  <si>
    <t>MiTek® 6" x 6" Triple Zinc Post Anchor at Menards®</t>
  </si>
  <si>
    <t>Red Head® Trubolt® 1/2" x 5-1/2" Hex Nut Expansion Wedge Anchor - 1 Count at Menards®</t>
  </si>
  <si>
    <t>Total Labor Cost to Build Deck</t>
  </si>
  <si>
    <t>Total General</t>
  </si>
  <si>
    <t>Price x SF</t>
  </si>
  <si>
    <t>Footer Material Cost</t>
  </si>
  <si>
    <t>Total Footer Cost Materials</t>
  </si>
  <si>
    <t>Total Materials</t>
  </si>
  <si>
    <t>OK pero quiero saber como vamos a configurar la base de datos primero, por pie cuadrado y desglosado en materiales, mano de obra, profit e imprevistos mas gastos fijos, dame un detalle de como lograstes esos precios globales y creemos juntos la base de datos ya que esa va ser nueva guia inmediata</t>
  </si>
  <si>
    <t>Categoría</t>
  </si>
  <si>
    <t>Item / Servicio</t>
  </si>
  <si>
    <t>Unidad</t>
  </si>
  <si>
    <t>Mat.</t>
  </si>
  <si>
    <t>Labor</t>
  </si>
  <si>
    <t>OH/Cont.</t>
  </si>
  <si>
    <t>Profit</t>
  </si>
  <si>
    <t>Total Venta</t>
  </si>
  <si>
    <t>PLATAFORMA</t>
  </si>
  <si>
    <t>Wood Deck (Low 2ft)</t>
  </si>
  <si>
    <t>sqft</t>
  </si>
  <si>
    <t>$11.50</t>
  </si>
  <si>
    <t>$8.00</t>
  </si>
  <si>
    <t>$2.92</t>
  </si>
  <si>
    <t>$4.48</t>
  </si>
  <si>
    <t>$26.90</t>
  </si>
  <si>
    <t>Wood Deck (Mid 5ft)</t>
  </si>
  <si>
    <t>$14.61</t>
  </si>
  <si>
    <t>$10.00</t>
  </si>
  <si>
    <t>$3.69</t>
  </si>
  <si>
    <t>$5.66</t>
  </si>
  <si>
    <t>$33.96</t>
  </si>
  <si>
    <t>Wood Deck (High 10ft)</t>
  </si>
  <si>
    <t>$18.50</t>
  </si>
  <si>
    <t>$14.00</t>
  </si>
  <si>
    <t>$4.87</t>
  </si>
  <si>
    <t>$7.47</t>
  </si>
  <si>
    <t>$44.84</t>
  </si>
  <si>
    <t>Composite Deck (Mid 5ft)</t>
  </si>
  <si>
    <t>$26.85</t>
  </si>
  <si>
    <t>$12.00</t>
  </si>
  <si>
    <t>$5.82</t>
  </si>
  <si>
    <t>$8.94</t>
  </si>
  <si>
    <t>$53.61</t>
  </si>
  <si>
    <t>BARANDAL</t>
  </si>
  <si>
    <t>Wood Railing</t>
  </si>
  <si>
    <t>lnft</t>
  </si>
  <si>
    <t>$20.00</t>
  </si>
  <si>
    <t>$5.77</t>
  </si>
  <si>
    <t>$8.85</t>
  </si>
  <si>
    <t>$53.12</t>
  </si>
  <si>
    <t>Aluminum Railing</t>
  </si>
  <si>
    <t>$65.00</t>
  </si>
  <si>
    <t>$25.00</t>
  </si>
  <si>
    <t>$13.50</t>
  </si>
  <si>
    <t>$20.70</t>
  </si>
  <si>
    <t>$124.20</t>
  </si>
  <si>
    <t>ESCALERAS</t>
  </si>
  <si>
    <t>Step (Wood)</t>
  </si>
  <si>
    <t>unit</t>
  </si>
  <si>
    <t>$140.00</t>
  </si>
  <si>
    <t>$30.75</t>
  </si>
  <si>
    <t>$47.15</t>
  </si>
  <si>
    <t>$282.90</t>
  </si>
  <si>
    <t>Servicio / Item</t>
  </si>
  <si>
    <t>Costo Mat</t>
  </si>
  <si>
    <t>OH + Imprev.</t>
  </si>
  <si>
    <t>Profit (30%)</t>
  </si>
  <si>
    <t>VENTA FINAL</t>
  </si>
  <si>
    <t>$2.93</t>
  </si>
  <si>
    <t>**$9.61**</t>
  </si>
  <si>
    <t>$32.04</t>
  </si>
  <si>
    <t>**$12.13**</t>
  </si>
  <si>
    <t>$40.43</t>
  </si>
  <si>
    <t>Wood Deck (High 10ft+)</t>
  </si>
  <si>
    <t>$22.00</t>
  </si>
  <si>
    <t>$5.40</t>
  </si>
  <si>
    <t>**$17.74**</t>
  </si>
  <si>
    <t>$59.14</t>
  </si>
  <si>
    <t>$28.50</t>
  </si>
  <si>
    <t>$6.07</t>
  </si>
  <si>
    <t>**$19.96**</t>
  </si>
  <si>
    <t>$66.54</t>
  </si>
  <si>
    <t>Classic Wood Rail</t>
  </si>
  <si>
    <t>$5.78</t>
  </si>
  <si>
    <t>**$18.98**</t>
  </si>
  <si>
    <t>$63.25</t>
  </si>
  <si>
    <t>Elite Aluminum Rail</t>
  </si>
  <si>
    <t>$68.00</t>
  </si>
  <si>
    <t>$13.95</t>
  </si>
  <si>
    <t>**$45.84**</t>
  </si>
  <si>
    <t>$152.79</t>
  </si>
  <si>
    <t>Wood Step</t>
  </si>
  <si>
    <t>**$101.04**</t>
  </si>
  <si>
    <t>$336.79</t>
  </si>
  <si>
    <t>Delivery &amp; Mgmt (100mi)</t>
  </si>
  <si>
    <t>flat</t>
  </si>
  <si>
    <t>$400.00</t>
  </si>
  <si>
    <t>$100.00</t>
  </si>
  <si>
    <t>$75.00</t>
  </si>
  <si>
    <t>**$246.43**</t>
  </si>
  <si>
    <t>$821.43</t>
  </si>
  <si>
    <t>2. El Bloque de "Railing" (Pies Lineales)</t>
  </si>
  <si>
    <r>
      <t xml:space="preserve">El barandal no se cobra por SqFt, se cobra por </t>
    </r>
    <r>
      <rPr>
        <b/>
        <sz val="11"/>
        <color theme="1"/>
        <rFont val="Aptos Narrow"/>
        <family val="2"/>
        <scheme val="minor"/>
      </rPr>
      <t>cuánto mide de largo</t>
    </r>
    <r>
      <rPr>
        <sz val="11"/>
        <color theme="1"/>
        <rFont val="Aptos Narrow"/>
        <family val="2"/>
        <scheme val="minor"/>
      </rPr>
      <t>. Esto te permite ofrecer opciones Premium sin afectar el precio del piso:</t>
    </r>
  </si>
  <si>
    <r>
      <t>Standard Wood Rail: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$63.25</t>
    </r>
    <r>
      <rPr>
        <sz val="11"/>
        <color theme="1"/>
        <rFont val="Aptos Narrow"/>
        <family val="2"/>
        <scheme val="minor"/>
      </rPr>
      <t xml:space="preserve"> /lnft.</t>
    </r>
  </si>
  <si>
    <r>
      <t>Premium PVC Rail: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$115.00</t>
    </r>
    <r>
      <rPr>
        <sz val="11"/>
        <color theme="1"/>
        <rFont val="Aptos Narrow"/>
        <family val="2"/>
        <scheme val="minor"/>
      </rPr>
      <t xml:space="preserve"> /lnft.</t>
    </r>
  </si>
  <si>
    <r>
      <t>Elite Aluminum Rail (Premium):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$164.29</t>
    </r>
    <r>
      <rPr>
        <sz val="11"/>
        <color theme="1"/>
        <rFont val="Aptos Narrow"/>
        <family val="2"/>
        <scheme val="minor"/>
      </rPr>
      <t xml:space="preserve"> /lnft.</t>
    </r>
  </si>
  <si>
    <t>3. El Bloque de "Escaleras" (Por Escalón)</t>
  </si>
  <si>
    <t>Como bien dijiste, hay decks con 2 pasos y otros con 15.</t>
  </si>
  <si>
    <r>
      <t>Wood Step: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$336.79</t>
    </r>
    <r>
      <rPr>
        <sz val="11"/>
        <color theme="1"/>
        <rFont val="Aptos Narrow"/>
        <family val="2"/>
        <scheme val="minor"/>
      </rPr>
      <t xml:space="preserve"> por cada escalón.</t>
    </r>
  </si>
  <si>
    <r>
      <t>Composite Step: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$427.14</t>
    </r>
    <r>
      <rPr>
        <sz val="11"/>
        <color theme="1"/>
        <rFont val="Aptos Narrow"/>
        <family val="2"/>
        <scheme val="minor"/>
      </rPr>
      <t xml:space="preserve"> por cada escalón. </t>
    </r>
    <r>
      <rPr>
        <i/>
        <sz val="11"/>
        <color theme="1"/>
        <rFont val="Aptos Narrow"/>
        <family val="2"/>
        <scheme val="minor"/>
      </rPr>
      <t>(Este precio ya incluye el material, tu labor técnica de corte de stringers y tu 30% de ganancia).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</si>
</sst>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2"/>
      <color rgb="FFFF0000"/>
      <name val="Arial"/>
      <family val="2"/>
    </font>
    <font>
      <sz val="10"/>
      <color rgb="FF1F1F1F"/>
      <name val="Google Sans Text"/>
    </font>
    <font>
      <sz val="10"/>
      <color theme="1"/>
      <name val="Arial"/>
      <family val="2"/>
    </font>
    <font>
      <b/>
      <sz val="10"/>
      <color rgb="FF1F1F1F"/>
      <name val="Google Sans Text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164" fontId="0" fillId="0" borderId="0" xfId="1" applyFont="1"/>
    <xf numFmtId="164" fontId="0" fillId="0" borderId="0" xfId="0" applyNumberFormat="1"/>
    <xf numFmtId="0" fontId="3" fillId="0" borderId="0" xfId="2" applyAlignment="1">
      <alignment wrapText="1"/>
    </xf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6" xfId="1" applyFont="1" applyFill="1" applyBorder="1"/>
    <xf numFmtId="0" fontId="4" fillId="3" borderId="7" xfId="2" applyFont="1" applyFill="1" applyBorder="1" applyAlignment="1">
      <alignment wrapText="1"/>
    </xf>
    <xf numFmtId="0" fontId="2" fillId="3" borderId="8" xfId="0" applyFont="1" applyFill="1" applyBorder="1"/>
    <xf numFmtId="164" fontId="2" fillId="3" borderId="8" xfId="1" applyFont="1" applyFill="1" applyBorder="1"/>
    <xf numFmtId="164" fontId="2" fillId="3" borderId="9" xfId="0" applyNumberFormat="1" applyFont="1" applyFill="1" applyBorder="1"/>
    <xf numFmtId="0" fontId="4" fillId="4" borderId="4" xfId="2" applyFont="1" applyFill="1" applyBorder="1" applyAlignment="1">
      <alignment wrapText="1"/>
    </xf>
    <xf numFmtId="0" fontId="2" fillId="4" borderId="5" xfId="0" applyFont="1" applyFill="1" applyBorder="1"/>
    <xf numFmtId="164" fontId="2" fillId="4" borderId="5" xfId="1" applyFont="1" applyFill="1" applyBorder="1"/>
    <xf numFmtId="164" fontId="2" fillId="4" borderId="6" xfId="0" applyNumberFormat="1" applyFont="1" applyFill="1" applyBorder="1"/>
    <xf numFmtId="0" fontId="0" fillId="0" borderId="10" xfId="0" applyBorder="1"/>
    <xf numFmtId="164" fontId="0" fillId="0" borderId="10" xfId="1" applyFont="1" applyBorder="1"/>
    <xf numFmtId="0" fontId="0" fillId="0" borderId="11" xfId="0" applyBorder="1"/>
    <xf numFmtId="164" fontId="0" fillId="0" borderId="12" xfId="1" applyFont="1" applyBorder="1"/>
    <xf numFmtId="0" fontId="0" fillId="0" borderId="12" xfId="0" applyBorder="1"/>
    <xf numFmtId="164" fontId="0" fillId="0" borderId="13" xfId="0" applyNumberFormat="1" applyBorder="1"/>
    <xf numFmtId="0" fontId="0" fillId="0" borderId="14" xfId="0" applyBorder="1"/>
    <xf numFmtId="164" fontId="0" fillId="0" borderId="15" xfId="0" applyNumberFormat="1" applyBorder="1"/>
    <xf numFmtId="0" fontId="3" fillId="0" borderId="14" xfId="2" applyBorder="1" applyAlignment="1">
      <alignment wrapText="1"/>
    </xf>
    <xf numFmtId="0" fontId="3" fillId="0" borderId="16" xfId="2" applyBorder="1" applyAlignment="1">
      <alignment wrapText="1"/>
    </xf>
    <xf numFmtId="0" fontId="0" fillId="0" borderId="17" xfId="0" applyBorder="1"/>
    <xf numFmtId="164" fontId="0" fillId="0" borderId="17" xfId="1" applyFont="1" applyBorder="1"/>
    <xf numFmtId="164" fontId="0" fillId="0" borderId="18" xfId="0" applyNumberFormat="1" applyBorder="1"/>
    <xf numFmtId="0" fontId="0" fillId="0" borderId="13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4" borderId="22" xfId="0" applyFont="1" applyFill="1" applyBorder="1"/>
    <xf numFmtId="0" fontId="2" fillId="4" borderId="23" xfId="0" applyFont="1" applyFill="1" applyBorder="1"/>
    <xf numFmtId="164" fontId="2" fillId="4" borderId="24" xfId="0" applyNumberFormat="1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164" fontId="2" fillId="5" borderId="9" xfId="1" applyFont="1" applyFill="1" applyBorder="1"/>
    <xf numFmtId="0" fontId="2" fillId="3" borderId="7" xfId="0" applyFont="1" applyFill="1" applyBorder="1"/>
    <xf numFmtId="0" fontId="2" fillId="4" borderId="4" xfId="0" applyFont="1" applyFill="1" applyBorder="1"/>
    <xf numFmtId="164" fontId="0" fillId="0" borderId="13" xfId="1" applyFont="1" applyBorder="1"/>
    <xf numFmtId="164" fontId="0" fillId="0" borderId="15" xfId="1" applyFont="1" applyBorder="1"/>
    <xf numFmtId="0" fontId="0" fillId="0" borderId="18" xfId="0" applyBorder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25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8" fillId="0" borderId="25" xfId="0" applyFont="1" applyBorder="1" applyAlignment="1">
      <alignment wrapText="1"/>
    </xf>
    <xf numFmtId="0" fontId="6" fillId="0" borderId="25" xfId="0" applyFont="1" applyBorder="1" applyAlignment="1">
      <alignment horizontal="right" wrapText="1"/>
    </xf>
    <xf numFmtId="0" fontId="8" fillId="0" borderId="25" xfId="0" applyFont="1" applyBorder="1" applyAlignment="1">
      <alignment horizontal="right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enards.com/main/hardware/fasteners-connectors/anchors/wedge-anchors/red-head-reg-trubolt-reg-1-2-hot-dipped-galvanized-hex-nut-expansion-wedge-anchors/50303/p-1444436190845-c-8727.htm" TargetMode="External"/><Relationship Id="rId1" Type="http://schemas.openxmlformats.org/officeDocument/2006/relationships/hyperlink" Target="https://www.menards.com/main/hardware/fasteners-connectors/construction-hardware/column-post-bases-caps/mitek-reg-triple-zinc-post-anchor/paf66-tz/p-1642874314894920-c-8825.htm?exp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9999-4E8C-4F54-B3E1-E372E61CA550}">
  <dimension ref="A1:N50"/>
  <sheetViews>
    <sheetView tabSelected="1" topLeftCell="A12" workbookViewId="0">
      <selection activeCell="B26" sqref="B26"/>
    </sheetView>
  </sheetViews>
  <sheetFormatPr defaultRowHeight="15"/>
  <cols>
    <col min="1" max="1" width="30" bestFit="1" customWidth="1"/>
    <col min="2" max="2" width="10.28515625" bestFit="1" customWidth="1"/>
    <col min="4" max="5" width="10.5703125" bestFit="1" customWidth="1"/>
    <col min="6" max="7" width="11.5703125" bestFit="1" customWidth="1"/>
    <col min="8" max="8" width="1.7109375" customWidth="1"/>
    <col min="9" max="9" width="44.7109375" customWidth="1"/>
  </cols>
  <sheetData>
    <row r="1" spans="1:9">
      <c r="A1" s="48" t="s">
        <v>0</v>
      </c>
      <c r="B1" s="48"/>
      <c r="C1" s="48"/>
      <c r="D1" s="48"/>
      <c r="E1" s="48"/>
      <c r="F1" s="48"/>
      <c r="G1" s="48"/>
    </row>
    <row r="3" spans="1:9" ht="15.75" thickBot="1"/>
    <row r="4" spans="1:9">
      <c r="A4" s="21" t="s">
        <v>1</v>
      </c>
      <c r="B4" s="23"/>
      <c r="C4" s="23"/>
      <c r="D4" s="23"/>
      <c r="E4" s="45">
        <v>4212.29</v>
      </c>
      <c r="I4" t="s">
        <v>11</v>
      </c>
    </row>
    <row r="5" spans="1:9">
      <c r="A5" s="25" t="s">
        <v>2</v>
      </c>
      <c r="B5" s="19"/>
      <c r="C5" s="19"/>
      <c r="D5" s="19"/>
      <c r="E5" s="46">
        <v>114.07</v>
      </c>
      <c r="I5" t="s">
        <v>12</v>
      </c>
    </row>
    <row r="6" spans="1:9">
      <c r="A6" s="25" t="s">
        <v>3</v>
      </c>
      <c r="B6" s="19"/>
      <c r="C6" s="19"/>
      <c r="D6" s="19"/>
      <c r="E6" s="46">
        <f>+E4*5.5%</f>
        <v>231.67595</v>
      </c>
      <c r="I6" t="s">
        <v>13</v>
      </c>
    </row>
    <row r="7" spans="1:9" ht="15.75" thickBot="1">
      <c r="A7" s="33"/>
      <c r="B7" s="29"/>
      <c r="C7" s="29"/>
      <c r="D7" s="29"/>
      <c r="E7" s="47"/>
      <c r="I7" t="s">
        <v>14</v>
      </c>
    </row>
    <row r="8" spans="1:9" ht="15.75" thickBot="1">
      <c r="A8" s="44" t="s">
        <v>4</v>
      </c>
      <c r="B8" s="16"/>
      <c r="C8" s="16"/>
      <c r="D8" s="16"/>
      <c r="E8" s="18">
        <f>SUM(E4:E7)</f>
        <v>4558.0359499999995</v>
      </c>
      <c r="I8" t="s">
        <v>15</v>
      </c>
    </row>
    <row r="9" spans="1:9">
      <c r="E9" s="2"/>
    </row>
    <row r="10" spans="1:9">
      <c r="A10" s="4" t="s">
        <v>62</v>
      </c>
      <c r="E10" s="2"/>
    </row>
    <row r="11" spans="1:9" ht="15.75" thickBot="1">
      <c r="D11" s="1"/>
      <c r="E11" s="1"/>
      <c r="F11" s="2"/>
      <c r="I11" t="s">
        <v>16</v>
      </c>
    </row>
    <row r="12" spans="1:9">
      <c r="A12" s="21" t="s">
        <v>55</v>
      </c>
      <c r="B12" s="22">
        <f>23.99*1.055</f>
        <v>25.309449999999998</v>
      </c>
      <c r="C12" s="23">
        <v>13</v>
      </c>
      <c r="D12" s="22">
        <f>+B12*C12</f>
        <v>329.02284999999995</v>
      </c>
      <c r="E12" s="22">
        <f>+D12*1.15</f>
        <v>378.3762774999999</v>
      </c>
      <c r="F12" s="24">
        <f>+E12</f>
        <v>378.3762774999999</v>
      </c>
      <c r="I12" t="s">
        <v>17</v>
      </c>
    </row>
    <row r="13" spans="1:9">
      <c r="A13" s="25" t="s">
        <v>56</v>
      </c>
      <c r="B13" s="20">
        <f>3.98*1.055</f>
        <v>4.1989000000000001</v>
      </c>
      <c r="C13" s="19">
        <f>+C12*13</f>
        <v>169</v>
      </c>
      <c r="D13" s="20">
        <f>+B13*C13</f>
        <v>709.61410000000001</v>
      </c>
      <c r="E13" s="20">
        <f>+D13*1.15</f>
        <v>816.05621499999995</v>
      </c>
      <c r="F13" s="26">
        <f>+E13</f>
        <v>816.05621499999995</v>
      </c>
      <c r="I13" t="s">
        <v>18</v>
      </c>
    </row>
    <row r="14" spans="1:9" ht="30">
      <c r="A14" s="27" t="s">
        <v>57</v>
      </c>
      <c r="B14" s="19">
        <f>24.99*1.055</f>
        <v>26.364449999999998</v>
      </c>
      <c r="C14" s="19">
        <v>13</v>
      </c>
      <c r="D14" s="20">
        <f>+B14*C14</f>
        <v>342.73784999999998</v>
      </c>
      <c r="E14" s="20">
        <f>+D14*1.15</f>
        <v>394.14852749999994</v>
      </c>
      <c r="F14" s="26">
        <f>+E14</f>
        <v>394.14852749999994</v>
      </c>
      <c r="I14" t="s">
        <v>19</v>
      </c>
    </row>
    <row r="15" spans="1:9" ht="45">
      <c r="A15" s="27" t="s">
        <v>58</v>
      </c>
      <c r="B15" s="19">
        <f>5.35*1.055</f>
        <v>5.6442499999999995</v>
      </c>
      <c r="C15" s="19">
        <v>13</v>
      </c>
      <c r="D15" s="20">
        <f>+B15*C15</f>
        <v>73.375249999999994</v>
      </c>
      <c r="E15" s="20">
        <f>+D15*1.15</f>
        <v>84.381537499999993</v>
      </c>
      <c r="F15" s="26">
        <f>+E15</f>
        <v>84.381537499999993</v>
      </c>
      <c r="I15" t="s">
        <v>20</v>
      </c>
    </row>
    <row r="16" spans="1:9" ht="15.75" thickBot="1">
      <c r="A16" s="28"/>
      <c r="B16" s="29"/>
      <c r="C16" s="29"/>
      <c r="D16" s="30"/>
      <c r="E16" s="30"/>
      <c r="F16" s="31"/>
    </row>
    <row r="17" spans="1:14" ht="15.75" thickBot="1">
      <c r="A17" s="15" t="s">
        <v>63</v>
      </c>
      <c r="B17" s="16"/>
      <c r="C17" s="16"/>
      <c r="D17" s="17"/>
      <c r="E17" s="17"/>
      <c r="F17" s="18">
        <f>SUM(F12:F16)</f>
        <v>1672.9625574999998</v>
      </c>
    </row>
    <row r="18" spans="1:14" ht="15.75" thickBot="1">
      <c r="A18" s="3"/>
      <c r="D18" s="1"/>
      <c r="E18" s="1"/>
      <c r="F18" s="2"/>
    </row>
    <row r="19" spans="1:14" ht="15.75" thickBot="1">
      <c r="A19" s="11" t="s">
        <v>64</v>
      </c>
      <c r="B19" s="12"/>
      <c r="C19" s="12"/>
      <c r="D19" s="13"/>
      <c r="E19" s="13"/>
      <c r="F19" s="14">
        <f>+E8+F17</f>
        <v>6230.9985074999995</v>
      </c>
    </row>
    <row r="20" spans="1:14">
      <c r="A20" s="3"/>
      <c r="D20" s="1"/>
      <c r="E20" s="1"/>
      <c r="F20" s="2"/>
    </row>
    <row r="21" spans="1:14" ht="15.75" thickBot="1">
      <c r="I21" t="s">
        <v>21</v>
      </c>
    </row>
    <row r="22" spans="1:14">
      <c r="A22" s="5" t="s">
        <v>5</v>
      </c>
      <c r="B22" s="6" t="s">
        <v>6</v>
      </c>
      <c r="C22" s="6" t="s">
        <v>7</v>
      </c>
      <c r="D22" s="6" t="s">
        <v>8</v>
      </c>
      <c r="E22" s="6" t="s">
        <v>9</v>
      </c>
      <c r="F22" s="7" t="s">
        <v>10</v>
      </c>
      <c r="I22" t="s">
        <v>22</v>
      </c>
    </row>
    <row r="23" spans="1:14" ht="15.75" thickBot="1">
      <c r="A23" s="8"/>
      <c r="B23" s="9">
        <v>23.25</v>
      </c>
      <c r="C23" s="9">
        <v>16</v>
      </c>
      <c r="D23" s="9">
        <f>+B23*C23</f>
        <v>372</v>
      </c>
      <c r="E23" s="9">
        <f>+D23*1.15</f>
        <v>427.79999999999995</v>
      </c>
      <c r="F23" s="10">
        <f>+F35/E23</f>
        <v>31.807149386395512</v>
      </c>
      <c r="G23" s="1">
        <f>+F23*E23</f>
        <v>13607.098507499999</v>
      </c>
      <c r="I23" t="s">
        <v>23</v>
      </c>
    </row>
    <row r="24" spans="1:14" ht="15.75" thickBot="1">
      <c r="I24" t="s">
        <v>24</v>
      </c>
    </row>
    <row r="25" spans="1:14">
      <c r="A25" s="21" t="s">
        <v>28</v>
      </c>
      <c r="B25" s="23" t="s">
        <v>29</v>
      </c>
      <c r="C25" s="23" t="s">
        <v>30</v>
      </c>
      <c r="D25" s="23" t="s">
        <v>32</v>
      </c>
      <c r="E25" s="23" t="s">
        <v>9</v>
      </c>
      <c r="F25" s="32" t="s">
        <v>31</v>
      </c>
    </row>
    <row r="26" spans="1:14">
      <c r="A26" s="25" t="s">
        <v>27</v>
      </c>
      <c r="B26" s="19">
        <v>150</v>
      </c>
      <c r="C26" s="19">
        <v>13</v>
      </c>
      <c r="D26" s="20">
        <f>+B26*C26</f>
        <v>1950</v>
      </c>
      <c r="E26" s="20">
        <f>+D26*1.15</f>
        <v>2242.5</v>
      </c>
      <c r="F26" s="26">
        <f>+E26</f>
        <v>2242.5</v>
      </c>
      <c r="I26" t="s">
        <v>25</v>
      </c>
    </row>
    <row r="27" spans="1:14">
      <c r="A27" s="25" t="s">
        <v>33</v>
      </c>
      <c r="B27" s="19">
        <v>7</v>
      </c>
      <c r="C27" s="19">
        <v>372</v>
      </c>
      <c r="D27" s="20">
        <f t="shared" ref="D27:D29" si="0">+B27*C27</f>
        <v>2604</v>
      </c>
      <c r="E27" s="20">
        <f t="shared" ref="E27:E29" si="1">+D27*1.15</f>
        <v>2994.6</v>
      </c>
      <c r="F27" s="26">
        <f t="shared" ref="F27:F29" si="2">+E27</f>
        <v>2994.6</v>
      </c>
      <c r="I27" t="s">
        <v>26</v>
      </c>
    </row>
    <row r="28" spans="1:14">
      <c r="A28" s="25" t="s">
        <v>34</v>
      </c>
      <c r="B28" s="19">
        <v>20</v>
      </c>
      <c r="C28" s="19">
        <f>8+8+16+16</f>
        <v>48</v>
      </c>
      <c r="D28" s="20">
        <f t="shared" si="0"/>
        <v>960</v>
      </c>
      <c r="E28" s="20">
        <f t="shared" si="1"/>
        <v>1104</v>
      </c>
      <c r="F28" s="26">
        <f t="shared" si="2"/>
        <v>1104</v>
      </c>
    </row>
    <row r="29" spans="1:14" ht="15.75">
      <c r="A29" s="25" t="s">
        <v>35</v>
      </c>
      <c r="B29" s="19">
        <v>150</v>
      </c>
      <c r="C29" s="19">
        <v>6</v>
      </c>
      <c r="D29" s="20">
        <f t="shared" si="0"/>
        <v>900</v>
      </c>
      <c r="E29" s="20">
        <f t="shared" si="1"/>
        <v>1035</v>
      </c>
      <c r="F29" s="26">
        <f t="shared" si="2"/>
        <v>1035</v>
      </c>
      <c r="N29" s="49" t="s">
        <v>65</v>
      </c>
    </row>
    <row r="30" spans="1:14">
      <c r="A30" s="25"/>
      <c r="B30" s="19"/>
      <c r="C30" s="19"/>
      <c r="D30" s="20"/>
      <c r="E30" s="20"/>
      <c r="F30" s="26"/>
    </row>
    <row r="31" spans="1:14">
      <c r="A31" s="25"/>
      <c r="B31" s="19"/>
      <c r="C31" s="19"/>
      <c r="D31" s="20"/>
      <c r="E31" s="20"/>
      <c r="F31" s="26"/>
    </row>
    <row r="32" spans="1:14" ht="15.75" thickBot="1">
      <c r="A32" s="34"/>
      <c r="B32" s="35"/>
      <c r="C32" s="35"/>
      <c r="D32" s="35"/>
      <c r="E32" s="35"/>
      <c r="F32" s="36"/>
      <c r="I32" t="s">
        <v>36</v>
      </c>
    </row>
    <row r="33" spans="1:9" ht="15.75" thickBot="1">
      <c r="A33" s="37" t="s">
        <v>59</v>
      </c>
      <c r="B33" s="38"/>
      <c r="C33" s="38"/>
      <c r="D33" s="38"/>
      <c r="E33" s="38"/>
      <c r="F33" s="39">
        <f>SUM(F26:F32)</f>
        <v>7376.1</v>
      </c>
      <c r="I33" t="s">
        <v>37</v>
      </c>
    </row>
    <row r="34" spans="1:9" ht="15.75" thickBot="1">
      <c r="I34" t="s">
        <v>38</v>
      </c>
    </row>
    <row r="35" spans="1:9" ht="15.75" thickBot="1">
      <c r="A35" s="43" t="s">
        <v>60</v>
      </c>
      <c r="B35" s="12"/>
      <c r="C35" s="12"/>
      <c r="D35" s="12"/>
      <c r="E35" s="12"/>
      <c r="F35" s="14">
        <f>+F19+F33</f>
        <v>13607.098507499999</v>
      </c>
      <c r="G35" s="2">
        <f>+F35-G23</f>
        <v>0</v>
      </c>
      <c r="I35" t="s">
        <v>39</v>
      </c>
    </row>
    <row r="36" spans="1:9" ht="15.75" thickBot="1">
      <c r="I36" t="s">
        <v>40</v>
      </c>
    </row>
    <row r="37" spans="1:9" ht="15.75" thickBot="1">
      <c r="A37" s="40" t="s">
        <v>61</v>
      </c>
      <c r="B37" s="41">
        <f>8*8+8*16</f>
        <v>192</v>
      </c>
      <c r="C37" s="41"/>
      <c r="D37" s="41"/>
      <c r="E37" s="41"/>
      <c r="F37" s="42">
        <f>+F35/B37</f>
        <v>70.870304726562495</v>
      </c>
      <c r="I37" t="s">
        <v>41</v>
      </c>
    </row>
    <row r="38" spans="1:9">
      <c r="I38" t="s">
        <v>42</v>
      </c>
    </row>
    <row r="39" spans="1:9">
      <c r="I39" t="s">
        <v>43</v>
      </c>
    </row>
    <row r="40" spans="1:9">
      <c r="I40" t="s">
        <v>44</v>
      </c>
    </row>
    <row r="41" spans="1:9">
      <c r="I41" t="s">
        <v>45</v>
      </c>
    </row>
    <row r="42" spans="1:9">
      <c r="I42" t="s">
        <v>46</v>
      </c>
    </row>
    <row r="43" spans="1:9">
      <c r="I43" t="s">
        <v>47</v>
      </c>
    </row>
    <row r="44" spans="1:9">
      <c r="I44" t="s">
        <v>48</v>
      </c>
    </row>
    <row r="45" spans="1:9">
      <c r="I45" t="s">
        <v>49</v>
      </c>
    </row>
    <row r="46" spans="1:9">
      <c r="I46" t="s">
        <v>50</v>
      </c>
    </row>
    <row r="47" spans="1:9">
      <c r="I47" t="s">
        <v>51</v>
      </c>
    </row>
    <row r="48" spans="1:9">
      <c r="I48" t="s">
        <v>52</v>
      </c>
    </row>
    <row r="49" spans="9:9">
      <c r="I49" t="s">
        <v>53</v>
      </c>
    </row>
    <row r="50" spans="9:9">
      <c r="I50" t="s">
        <v>54</v>
      </c>
    </row>
  </sheetData>
  <mergeCells count="1">
    <mergeCell ref="A1:G1"/>
  </mergeCells>
  <hyperlinks>
    <hyperlink ref="A14" r:id="rId1" display="https://www.menards.com/main/hardware/fasteners-connectors/construction-hardware/column-post-bases-caps/mitek-reg-triple-zinc-post-anchor/paf66-tz/p-1642874314894920-c-8825.htm?exp=false" xr:uid="{68BF719F-7F8B-450E-AC73-86D0DA83163F}"/>
    <hyperlink ref="A15" r:id="rId2" display="https://www.menards.com/main/hardware/fasteners-connectors/anchors/wedge-anchors/red-head-reg-trubolt-reg-1-2-hot-dipped-galvanized-hex-nut-expansion-wedge-anchors/50303/p-1444436190845-c-8727.htm" xr:uid="{52918F74-F18F-4A5C-982E-1C6108020804}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6CDF-26F4-4537-B4B6-B68864C447E2}">
  <dimension ref="A1:O26"/>
  <sheetViews>
    <sheetView workbookViewId="0">
      <selection activeCell="Q6" sqref="Q6"/>
    </sheetView>
  </sheetViews>
  <sheetFormatPr defaultRowHeight="15"/>
  <cols>
    <col min="1" max="1" width="8.85546875" bestFit="1" customWidth="1"/>
    <col min="2" max="2" width="22.42578125" bestFit="1" customWidth="1"/>
    <col min="3" max="5" width="7.5703125" bestFit="1" customWidth="1"/>
    <col min="6" max="6" width="9" bestFit="1" customWidth="1"/>
    <col min="7" max="8" width="7.5703125" bestFit="1" customWidth="1"/>
  </cols>
  <sheetData>
    <row r="1" spans="1:15" ht="27" thickBot="1">
      <c r="A1" s="50" t="s">
        <v>66</v>
      </c>
      <c r="B1" s="50" t="s">
        <v>67</v>
      </c>
      <c r="C1" s="50" t="s">
        <v>68</v>
      </c>
      <c r="D1" s="50" t="s">
        <v>69</v>
      </c>
      <c r="E1" s="50" t="s">
        <v>70</v>
      </c>
      <c r="F1" s="50" t="s">
        <v>71</v>
      </c>
      <c r="G1" s="50" t="s">
        <v>72</v>
      </c>
      <c r="H1" s="50" t="s">
        <v>73</v>
      </c>
      <c r="I1" s="51"/>
    </row>
    <row r="2" spans="1:15" ht="27" thickBot="1">
      <c r="A2" s="52" t="s">
        <v>74</v>
      </c>
      <c r="B2" s="50" t="s">
        <v>75</v>
      </c>
      <c r="C2" s="50" t="s">
        <v>76</v>
      </c>
      <c r="D2" s="53" t="s">
        <v>77</v>
      </c>
      <c r="E2" s="53" t="s">
        <v>78</v>
      </c>
      <c r="F2" s="53" t="s">
        <v>79</v>
      </c>
      <c r="G2" s="53" t="s">
        <v>80</v>
      </c>
      <c r="H2" s="54" t="s">
        <v>81</v>
      </c>
      <c r="I2" s="51"/>
    </row>
    <row r="3" spans="1:15" ht="27" thickBot="1">
      <c r="A3" s="52" t="s">
        <v>74</v>
      </c>
      <c r="B3" s="50" t="s">
        <v>82</v>
      </c>
      <c r="C3" s="50" t="s">
        <v>76</v>
      </c>
      <c r="D3" s="53" t="s">
        <v>83</v>
      </c>
      <c r="E3" s="53" t="s">
        <v>84</v>
      </c>
      <c r="F3" s="53" t="s">
        <v>85</v>
      </c>
      <c r="G3" s="53" t="s">
        <v>86</v>
      </c>
      <c r="H3" s="54" t="s">
        <v>87</v>
      </c>
      <c r="I3" s="51"/>
      <c r="O3" s="55" t="s">
        <v>158</v>
      </c>
    </row>
    <row r="4" spans="1:15" ht="27" thickBot="1">
      <c r="A4" s="52" t="s">
        <v>74</v>
      </c>
      <c r="B4" s="50" t="s">
        <v>88</v>
      </c>
      <c r="C4" s="50" t="s">
        <v>76</v>
      </c>
      <c r="D4" s="53" t="s">
        <v>89</v>
      </c>
      <c r="E4" s="53" t="s">
        <v>90</v>
      </c>
      <c r="F4" s="53" t="s">
        <v>91</v>
      </c>
      <c r="G4" s="53" t="s">
        <v>92</v>
      </c>
      <c r="H4" s="54" t="s">
        <v>93</v>
      </c>
      <c r="I4" s="51"/>
    </row>
    <row r="5" spans="1:15" ht="27" thickBot="1">
      <c r="A5" s="52" t="s">
        <v>74</v>
      </c>
      <c r="B5" s="50" t="s">
        <v>94</v>
      </c>
      <c r="C5" s="50" t="s">
        <v>76</v>
      </c>
      <c r="D5" s="53" t="s">
        <v>95</v>
      </c>
      <c r="E5" s="53" t="s">
        <v>96</v>
      </c>
      <c r="F5" s="53" t="s">
        <v>97</v>
      </c>
      <c r="G5" s="53" t="s">
        <v>98</v>
      </c>
      <c r="H5" s="54" t="s">
        <v>99</v>
      </c>
      <c r="I5" s="51"/>
      <c r="O5" t="s">
        <v>159</v>
      </c>
    </row>
    <row r="6" spans="1:15" ht="27" thickBot="1">
      <c r="A6" s="52" t="s">
        <v>100</v>
      </c>
      <c r="B6" s="50" t="s">
        <v>101</v>
      </c>
      <c r="C6" s="50" t="s">
        <v>102</v>
      </c>
      <c r="D6" s="53" t="s">
        <v>89</v>
      </c>
      <c r="E6" s="53" t="s">
        <v>103</v>
      </c>
      <c r="F6" s="53" t="s">
        <v>104</v>
      </c>
      <c r="G6" s="53" t="s">
        <v>105</v>
      </c>
      <c r="H6" s="54" t="s">
        <v>106</v>
      </c>
      <c r="I6" s="51"/>
      <c r="O6" s="56"/>
    </row>
    <row r="7" spans="1:15" ht="27" thickBot="1">
      <c r="A7" s="52" t="s">
        <v>100</v>
      </c>
      <c r="B7" s="50" t="s">
        <v>107</v>
      </c>
      <c r="C7" s="50" t="s">
        <v>102</v>
      </c>
      <c r="D7" s="53" t="s">
        <v>108</v>
      </c>
      <c r="E7" s="53" t="s">
        <v>109</v>
      </c>
      <c r="F7" s="53" t="s">
        <v>110</v>
      </c>
      <c r="G7" s="53" t="s">
        <v>111</v>
      </c>
      <c r="H7" s="54" t="s">
        <v>112</v>
      </c>
      <c r="I7" s="51"/>
      <c r="O7" s="57" t="s">
        <v>160</v>
      </c>
    </row>
    <row r="8" spans="1:15" ht="27" thickBot="1">
      <c r="A8" s="52" t="s">
        <v>113</v>
      </c>
      <c r="B8" s="50" t="s">
        <v>114</v>
      </c>
      <c r="C8" s="50" t="s">
        <v>115</v>
      </c>
      <c r="D8" s="53" t="s">
        <v>108</v>
      </c>
      <c r="E8" s="53" t="s">
        <v>116</v>
      </c>
      <c r="F8" s="53" t="s">
        <v>117</v>
      </c>
      <c r="G8" s="53" t="s">
        <v>118</v>
      </c>
      <c r="H8" s="54" t="s">
        <v>119</v>
      </c>
      <c r="I8" s="51"/>
      <c r="O8" s="56"/>
    </row>
    <row r="9" spans="1:15" ht="15.75" thickBot="1">
      <c r="A9" s="51"/>
      <c r="B9" s="51"/>
      <c r="C9" s="51"/>
      <c r="D9" s="51"/>
      <c r="E9" s="51"/>
      <c r="F9" s="51"/>
      <c r="G9" s="51"/>
      <c r="H9" s="51"/>
      <c r="I9" s="51"/>
      <c r="O9" s="57" t="s">
        <v>161</v>
      </c>
    </row>
    <row r="10" spans="1:15" ht="15.75" thickBot="1">
      <c r="A10" s="51"/>
      <c r="B10" s="51"/>
      <c r="C10" s="51"/>
      <c r="D10" s="51"/>
      <c r="E10" s="51"/>
      <c r="F10" s="51"/>
      <c r="G10" s="51"/>
      <c r="H10" s="51"/>
      <c r="I10" s="51"/>
      <c r="O10" s="56"/>
    </row>
    <row r="11" spans="1:15" ht="15.75" thickBot="1">
      <c r="A11" s="51"/>
      <c r="B11" s="51"/>
      <c r="C11" s="51"/>
      <c r="D11" s="51"/>
      <c r="E11" s="51"/>
      <c r="F11" s="51"/>
      <c r="G11" s="51"/>
      <c r="H11" s="51"/>
      <c r="I11" s="51"/>
      <c r="O11" s="57" t="s">
        <v>162</v>
      </c>
    </row>
    <row r="12" spans="1:15" ht="27" thickBot="1">
      <c r="A12" s="50" t="s">
        <v>120</v>
      </c>
      <c r="B12" s="50" t="s">
        <v>68</v>
      </c>
      <c r="C12" s="50" t="s">
        <v>121</v>
      </c>
      <c r="D12" s="50" t="s">
        <v>70</v>
      </c>
      <c r="E12" s="50" t="s">
        <v>122</v>
      </c>
      <c r="F12" s="50" t="s">
        <v>123</v>
      </c>
      <c r="G12" s="50" t="s">
        <v>124</v>
      </c>
      <c r="H12" s="51"/>
      <c r="I12" s="51"/>
    </row>
    <row r="13" spans="1:15" ht="39.75" thickBot="1">
      <c r="A13" s="52" t="s">
        <v>75</v>
      </c>
      <c r="B13" s="50" t="s">
        <v>76</v>
      </c>
      <c r="C13" s="53" t="s">
        <v>77</v>
      </c>
      <c r="D13" s="53" t="s">
        <v>78</v>
      </c>
      <c r="E13" s="53" t="s">
        <v>125</v>
      </c>
      <c r="F13" s="50" t="s">
        <v>126</v>
      </c>
      <c r="G13" s="54" t="s">
        <v>127</v>
      </c>
      <c r="H13" s="51"/>
      <c r="I13" s="51"/>
      <c r="O13" s="55" t="s">
        <v>163</v>
      </c>
    </row>
    <row r="14" spans="1:15" ht="39.75" thickBot="1">
      <c r="A14" s="52" t="s">
        <v>82</v>
      </c>
      <c r="B14" s="50" t="s">
        <v>76</v>
      </c>
      <c r="C14" s="53" t="s">
        <v>83</v>
      </c>
      <c r="D14" s="53" t="s">
        <v>84</v>
      </c>
      <c r="E14" s="53" t="s">
        <v>85</v>
      </c>
      <c r="F14" s="50" t="s">
        <v>128</v>
      </c>
      <c r="G14" s="54" t="s">
        <v>129</v>
      </c>
      <c r="H14" s="51"/>
      <c r="I14" s="51"/>
    </row>
    <row r="15" spans="1:15" ht="52.5" thickBot="1">
      <c r="A15" s="52" t="s">
        <v>130</v>
      </c>
      <c r="B15" s="50" t="s">
        <v>76</v>
      </c>
      <c r="C15" s="53" t="s">
        <v>131</v>
      </c>
      <c r="D15" s="53" t="s">
        <v>90</v>
      </c>
      <c r="E15" s="53" t="s">
        <v>132</v>
      </c>
      <c r="F15" s="50" t="s">
        <v>133</v>
      </c>
      <c r="G15" s="54" t="s">
        <v>134</v>
      </c>
      <c r="H15" s="51"/>
      <c r="I15" s="51"/>
      <c r="O15" t="s">
        <v>164</v>
      </c>
    </row>
    <row r="16" spans="1:15" ht="39.75" thickBot="1">
      <c r="A16" s="52" t="s">
        <v>94</v>
      </c>
      <c r="B16" s="50" t="s">
        <v>76</v>
      </c>
      <c r="C16" s="53" t="s">
        <v>135</v>
      </c>
      <c r="D16" s="53" t="s">
        <v>96</v>
      </c>
      <c r="E16" s="53" t="s">
        <v>136</v>
      </c>
      <c r="F16" s="50" t="s">
        <v>137</v>
      </c>
      <c r="G16" s="54" t="s">
        <v>138</v>
      </c>
      <c r="H16" s="51"/>
      <c r="I16" s="51"/>
      <c r="O16" s="56"/>
    </row>
    <row r="17" spans="1:15" ht="39.75" thickBot="1">
      <c r="A17" s="52" t="s">
        <v>139</v>
      </c>
      <c r="B17" s="50" t="s">
        <v>102</v>
      </c>
      <c r="C17" s="53" t="s">
        <v>89</v>
      </c>
      <c r="D17" s="53" t="s">
        <v>103</v>
      </c>
      <c r="E17" s="53" t="s">
        <v>140</v>
      </c>
      <c r="F17" s="50" t="s">
        <v>141</v>
      </c>
      <c r="G17" s="54" t="s">
        <v>142</v>
      </c>
      <c r="H17" s="51"/>
      <c r="I17" s="51"/>
      <c r="O17" s="57" t="s">
        <v>165</v>
      </c>
    </row>
    <row r="18" spans="1:15" ht="39.75" thickBot="1">
      <c r="A18" s="52" t="s">
        <v>143</v>
      </c>
      <c r="B18" s="50" t="s">
        <v>102</v>
      </c>
      <c r="C18" s="53" t="s">
        <v>144</v>
      </c>
      <c r="D18" s="53" t="s">
        <v>109</v>
      </c>
      <c r="E18" s="53" t="s">
        <v>145</v>
      </c>
      <c r="F18" s="50" t="s">
        <v>146</v>
      </c>
      <c r="G18" s="54" t="s">
        <v>147</v>
      </c>
      <c r="H18" s="51"/>
      <c r="I18" s="51"/>
      <c r="O18" s="56"/>
    </row>
    <row r="19" spans="1:15" ht="27" thickBot="1">
      <c r="A19" s="52" t="s">
        <v>148</v>
      </c>
      <c r="B19" s="50" t="s">
        <v>115</v>
      </c>
      <c r="C19" s="53" t="s">
        <v>108</v>
      </c>
      <c r="D19" s="53" t="s">
        <v>116</v>
      </c>
      <c r="E19" s="53" t="s">
        <v>117</v>
      </c>
      <c r="F19" s="50" t="s">
        <v>149</v>
      </c>
      <c r="G19" s="54" t="s">
        <v>150</v>
      </c>
      <c r="H19" s="51"/>
      <c r="I19" s="51"/>
      <c r="O19" s="57" t="s">
        <v>166</v>
      </c>
    </row>
    <row r="20" spans="1:15" ht="39.75" thickBot="1">
      <c r="A20" s="52" t="s">
        <v>151</v>
      </c>
      <c r="B20" s="50" t="s">
        <v>152</v>
      </c>
      <c r="C20" s="53" t="s">
        <v>153</v>
      </c>
      <c r="D20" s="53" t="s">
        <v>154</v>
      </c>
      <c r="E20" s="53" t="s">
        <v>155</v>
      </c>
      <c r="F20" s="50" t="s">
        <v>156</v>
      </c>
      <c r="G20" s="54" t="s">
        <v>157</v>
      </c>
      <c r="H20" s="51"/>
      <c r="I20" s="51"/>
    </row>
    <row r="21" spans="1:15" ht="15.75" thickBot="1">
      <c r="A21" s="51"/>
      <c r="B21" s="51"/>
      <c r="C21" s="51"/>
      <c r="D21" s="51"/>
      <c r="E21" s="51"/>
      <c r="F21" s="51"/>
      <c r="G21" s="51"/>
      <c r="H21" s="51"/>
      <c r="I21" s="51"/>
    </row>
    <row r="22" spans="1:15" ht="15.75" thickBot="1">
      <c r="A22" s="51"/>
      <c r="B22" s="51"/>
      <c r="C22" s="51"/>
      <c r="D22" s="51"/>
      <c r="E22" s="51"/>
      <c r="F22" s="51"/>
      <c r="G22" s="51"/>
      <c r="H22" s="51"/>
      <c r="I22" s="51"/>
    </row>
    <row r="23" spans="1:15" ht="15.75" thickBot="1">
      <c r="A23" s="51"/>
      <c r="B23" s="51"/>
      <c r="C23" s="51"/>
      <c r="D23" s="51"/>
      <c r="E23" s="51"/>
      <c r="F23" s="51"/>
      <c r="G23" s="51"/>
      <c r="H23" s="51"/>
      <c r="I23" s="51"/>
    </row>
    <row r="24" spans="1:15" ht="15.75" thickBot="1">
      <c r="A24" s="51"/>
      <c r="B24" s="51"/>
      <c r="C24" s="51"/>
      <c r="D24" s="51"/>
      <c r="E24" s="51"/>
      <c r="F24" s="51"/>
      <c r="G24" s="51"/>
      <c r="H24" s="51"/>
      <c r="I24" s="51"/>
    </row>
    <row r="25" spans="1:15" ht="15.75" thickBot="1">
      <c r="A25" s="51"/>
      <c r="B25" s="51"/>
      <c r="C25" s="51"/>
      <c r="D25" s="51"/>
      <c r="E25" s="51"/>
      <c r="F25" s="51"/>
      <c r="G25" s="51"/>
      <c r="H25" s="51"/>
      <c r="I25" s="51"/>
    </row>
    <row r="26" spans="1:15" ht="15.75" thickBot="1">
      <c r="A26" s="51"/>
      <c r="B26" s="51"/>
      <c r="C26" s="51"/>
      <c r="D26" s="51"/>
      <c r="E26" s="51"/>
      <c r="F26" s="51"/>
      <c r="G26" s="51"/>
      <c r="H26" s="51"/>
      <c r="I26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Cortez</dc:creator>
  <cp:lastModifiedBy>Ana Cortez</cp:lastModifiedBy>
  <dcterms:created xsi:type="dcterms:W3CDTF">2025-09-20T16:32:51Z</dcterms:created>
  <dcterms:modified xsi:type="dcterms:W3CDTF">2026-01-24T06:05:03Z</dcterms:modified>
</cp:coreProperties>
</file>