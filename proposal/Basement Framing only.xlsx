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eo Carpentry\proposal\"/>
    </mc:Choice>
  </mc:AlternateContent>
  <xr:revisionPtr revIDLastSave="0" documentId="8_{5FD5FA42-1E4A-4B47-BCB6-5335BD2ABF72}" xr6:coauthVersionLast="47" xr6:coauthVersionMax="47" xr10:uidLastSave="{00000000-0000-0000-0000-000000000000}"/>
  <bookViews>
    <workbookView xWindow="-120" yWindow="-120" windowWidth="29040" windowHeight="15720" xr2:uid="{8117F72D-145C-4BD7-95A3-4101157536FD}"/>
  </bookViews>
  <sheets>
    <sheet name="Fram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2" i="1" l="1"/>
  <c r="W50" i="1"/>
  <c r="W26" i="1"/>
  <c r="W24" i="1"/>
  <c r="W22" i="1"/>
  <c r="W20" i="1"/>
  <c r="W18" i="1"/>
  <c r="W15" i="1"/>
  <c r="W14" i="1"/>
  <c r="W13" i="1"/>
  <c r="W6" i="1"/>
  <c r="W7" i="1"/>
  <c r="W8" i="1"/>
  <c r="W5" i="1"/>
  <c r="V11" i="1"/>
  <c r="U15" i="1"/>
  <c r="T15" i="1"/>
  <c r="S15" i="1"/>
  <c r="R15" i="1"/>
  <c r="U14" i="1"/>
  <c r="T14" i="1"/>
  <c r="S14" i="1"/>
  <c r="R14" i="1"/>
  <c r="U13" i="1"/>
  <c r="T13" i="1"/>
  <c r="S13" i="1"/>
  <c r="R13" i="1"/>
  <c r="S11" i="1"/>
  <c r="R11" i="1"/>
  <c r="Q11" i="1"/>
  <c r="U11" i="1"/>
  <c r="T11" i="1"/>
  <c r="T8" i="1"/>
  <c r="U8" i="1"/>
  <c r="R8" i="1"/>
  <c r="T7" i="1"/>
  <c r="T6" i="1"/>
  <c r="T5" i="1"/>
  <c r="S8" i="1"/>
  <c r="U7" i="1"/>
  <c r="S7" i="1"/>
  <c r="R7" i="1"/>
  <c r="R6" i="1"/>
  <c r="R5" i="1"/>
  <c r="S5" i="1" s="1"/>
  <c r="U5" i="1" s="1"/>
  <c r="M8" i="1"/>
  <c r="M9" i="1"/>
  <c r="M10" i="1"/>
  <c r="M16" i="1"/>
  <c r="M17" i="1"/>
  <c r="M18" i="1"/>
  <c r="M24" i="1"/>
  <c r="M25" i="1"/>
  <c r="M26" i="1"/>
  <c r="M35" i="1"/>
  <c r="M42" i="1"/>
  <c r="M43" i="1"/>
  <c r="F41" i="1"/>
  <c r="F6" i="1"/>
  <c r="F11" i="1"/>
  <c r="F14" i="1"/>
  <c r="F19" i="1"/>
  <c r="F22" i="1"/>
  <c r="F26" i="1"/>
  <c r="F34" i="1"/>
  <c r="K44" i="1"/>
  <c r="M44" i="1" s="1"/>
  <c r="K43" i="1"/>
  <c r="K42" i="1"/>
  <c r="K41" i="1"/>
  <c r="M41" i="1" s="1"/>
  <c r="K40" i="1"/>
  <c r="M40" i="1" s="1"/>
  <c r="K39" i="1"/>
  <c r="M39" i="1" s="1"/>
  <c r="K38" i="1"/>
  <c r="M38" i="1" s="1"/>
  <c r="K37" i="1"/>
  <c r="M37" i="1" s="1"/>
  <c r="K36" i="1"/>
  <c r="M36" i="1" s="1"/>
  <c r="K35" i="1"/>
  <c r="K34" i="1"/>
  <c r="M34" i="1" s="1"/>
  <c r="K33" i="1"/>
  <c r="M33" i="1" s="1"/>
  <c r="K32" i="1"/>
  <c r="M32" i="1" s="1"/>
  <c r="K31" i="1"/>
  <c r="M31" i="1" s="1"/>
  <c r="K30" i="1"/>
  <c r="M30" i="1" s="1"/>
  <c r="K29" i="1"/>
  <c r="M29" i="1" s="1"/>
  <c r="K28" i="1"/>
  <c r="M28" i="1" s="1"/>
  <c r="K27" i="1"/>
  <c r="M27" i="1" s="1"/>
  <c r="K26" i="1"/>
  <c r="K25" i="1"/>
  <c r="K24" i="1"/>
  <c r="K23" i="1"/>
  <c r="M23" i="1" s="1"/>
  <c r="K22" i="1"/>
  <c r="M22" i="1" s="1"/>
  <c r="K21" i="1"/>
  <c r="M21" i="1" s="1"/>
  <c r="K20" i="1"/>
  <c r="M20" i="1" s="1"/>
  <c r="K19" i="1"/>
  <c r="M19" i="1" s="1"/>
  <c r="K18" i="1"/>
  <c r="K17" i="1"/>
  <c r="K16" i="1"/>
  <c r="K15" i="1"/>
  <c r="M15" i="1" s="1"/>
  <c r="K14" i="1"/>
  <c r="M14" i="1" s="1"/>
  <c r="K13" i="1"/>
  <c r="M13" i="1" s="1"/>
  <c r="K12" i="1"/>
  <c r="M12" i="1" s="1"/>
  <c r="K11" i="1"/>
  <c r="M11" i="1" s="1"/>
  <c r="K10" i="1"/>
  <c r="K9" i="1"/>
  <c r="K8" i="1"/>
  <c r="K7" i="1"/>
  <c r="M7" i="1" s="1"/>
  <c r="K6" i="1"/>
  <c r="M6" i="1" s="1"/>
  <c r="K5" i="1"/>
  <c r="M5" i="1" s="1"/>
  <c r="D44" i="1"/>
  <c r="F44" i="1" s="1"/>
  <c r="D43" i="1"/>
  <c r="F43" i="1" s="1"/>
  <c r="D42" i="1"/>
  <c r="F42" i="1" s="1"/>
  <c r="D41" i="1"/>
  <c r="D40" i="1"/>
  <c r="F40" i="1" s="1"/>
  <c r="D39" i="1"/>
  <c r="F39" i="1" s="1"/>
  <c r="D38" i="1"/>
  <c r="F38" i="1" s="1"/>
  <c r="D37" i="1"/>
  <c r="F37" i="1" s="1"/>
  <c r="D36" i="1"/>
  <c r="F36" i="1" s="1"/>
  <c r="D35" i="1"/>
  <c r="F35" i="1" s="1"/>
  <c r="D34" i="1"/>
  <c r="D33" i="1"/>
  <c r="F33" i="1" s="1"/>
  <c r="D32" i="1"/>
  <c r="F32" i="1" s="1"/>
  <c r="D31" i="1"/>
  <c r="F31" i="1" s="1"/>
  <c r="D30" i="1"/>
  <c r="F30" i="1" s="1"/>
  <c r="D29" i="1"/>
  <c r="F29" i="1" s="1"/>
  <c r="D28" i="1"/>
  <c r="F28" i="1" s="1"/>
  <c r="D27" i="1"/>
  <c r="F27" i="1" s="1"/>
  <c r="D26" i="1"/>
  <c r="D25" i="1"/>
  <c r="F25" i="1" s="1"/>
  <c r="D24" i="1"/>
  <c r="F24" i="1" s="1"/>
  <c r="D23" i="1"/>
  <c r="F23" i="1" s="1"/>
  <c r="D22" i="1"/>
  <c r="D21" i="1"/>
  <c r="F21" i="1" s="1"/>
  <c r="D20" i="1"/>
  <c r="F20" i="1" s="1"/>
  <c r="D19" i="1"/>
  <c r="D18" i="1"/>
  <c r="F18" i="1" s="1"/>
  <c r="D17" i="1"/>
  <c r="F17" i="1" s="1"/>
  <c r="D16" i="1"/>
  <c r="F16" i="1" s="1"/>
  <c r="D15" i="1"/>
  <c r="F15" i="1" s="1"/>
  <c r="D14" i="1"/>
  <c r="D13" i="1"/>
  <c r="F13" i="1" s="1"/>
  <c r="D12" i="1"/>
  <c r="F12" i="1" s="1"/>
  <c r="D11" i="1"/>
  <c r="D10" i="1"/>
  <c r="F10" i="1" s="1"/>
  <c r="D9" i="1"/>
  <c r="F9" i="1" s="1"/>
  <c r="D8" i="1"/>
  <c r="F8" i="1" s="1"/>
  <c r="D7" i="1"/>
  <c r="F7" i="1" s="1"/>
  <c r="D6" i="1"/>
  <c r="D5" i="1"/>
  <c r="F5" i="1" s="1"/>
  <c r="L45" i="1"/>
  <c r="J45" i="1"/>
  <c r="I45" i="1"/>
  <c r="E45" i="1"/>
  <c r="C45" i="1"/>
  <c r="B45" i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6" i="1"/>
  <c r="S6" i="1" l="1"/>
  <c r="U6" i="1" s="1"/>
  <c r="H45" i="1"/>
  <c r="D45" i="1"/>
  <c r="M45" i="1"/>
  <c r="K45" i="1"/>
  <c r="F45" i="1"/>
  <c r="F48" i="1" s="1"/>
  <c r="F49" i="1" l="1"/>
  <c r="F50" i="1"/>
  <c r="E48" i="1"/>
</calcChain>
</file>

<file path=xl/sharedStrings.xml><?xml version="1.0" encoding="utf-8"?>
<sst xmlns="http://schemas.openxmlformats.org/spreadsheetml/2006/main" count="45" uniqueCount="38">
  <si>
    <t xml:space="preserve">Faming Quote </t>
  </si>
  <si>
    <t>lineal feet</t>
  </si>
  <si>
    <t>high</t>
  </si>
  <si>
    <t>Price x SF</t>
  </si>
  <si>
    <t>total SF</t>
  </si>
  <si>
    <t>Total Cost Labor</t>
  </si>
  <si>
    <t>No.</t>
  </si>
  <si>
    <t>Full Wals</t>
  </si>
  <si>
    <t>Low Walls</t>
  </si>
  <si>
    <t xml:space="preserve">Total Framing Labor Cost </t>
  </si>
  <si>
    <t>disc. 20%</t>
  </si>
  <si>
    <t>2x4x12</t>
  </si>
  <si>
    <t>2x4x12 green</t>
  </si>
  <si>
    <t>name</t>
  </si>
  <si>
    <t>lenth</t>
  </si>
  <si>
    <t>Materials</t>
  </si>
  <si>
    <t>LF</t>
  </si>
  <si>
    <t>Waste</t>
  </si>
  <si>
    <t>QT</t>
  </si>
  <si>
    <t>FT</t>
  </si>
  <si>
    <t>Cada Puerta Usa 6 2x4x8</t>
  </si>
  <si>
    <t>2x4x8 Studs</t>
  </si>
  <si>
    <t>2x4x8 doors</t>
  </si>
  <si>
    <t>Totals</t>
  </si>
  <si>
    <t>Nails  3"</t>
  </si>
  <si>
    <t>Price</t>
  </si>
  <si>
    <t>Tax</t>
  </si>
  <si>
    <t>1/4 x 3 1/4" Tap Cons (75 Count)</t>
  </si>
  <si>
    <t>1/2" x 4" x 50' Foam Expansion Joint</t>
  </si>
  <si>
    <t>Subtotal</t>
  </si>
  <si>
    <t>SubTotal</t>
  </si>
  <si>
    <t>Total</t>
  </si>
  <si>
    <t>Mano de Obra</t>
  </si>
  <si>
    <t>Costo total del Proyecto</t>
  </si>
  <si>
    <t>Delivery</t>
  </si>
  <si>
    <t xml:space="preserve">otros costos </t>
  </si>
  <si>
    <t>imprevistos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</si>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</sst>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44" fontId="0" fillId="0" borderId="0" xfId="1" applyFont="1"/>
    <xf numFmtId="0" fontId="0" fillId="0" borderId="1" xfId="0" applyBorder="1"/>
    <xf numFmtId="0" fontId="3" fillId="0" borderId="1" xfId="0" applyFont="1" applyBorder="1"/>
    <xf numFmtId="44" fontId="0" fillId="0" borderId="1" xfId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0" fillId="0" borderId="5" xfId="0" applyBorder="1"/>
    <xf numFmtId="44" fontId="0" fillId="0" borderId="6" xfId="1" applyFont="1" applyBorder="1"/>
    <xf numFmtId="0" fontId="3" fillId="0" borderId="7" xfId="0" applyFont="1" applyBorder="1"/>
    <xf numFmtId="0" fontId="3" fillId="0" borderId="8" xfId="0" applyFont="1" applyBorder="1"/>
    <xf numFmtId="44" fontId="3" fillId="0" borderId="8" xfId="1" applyFont="1" applyBorder="1"/>
    <xf numFmtId="44" fontId="3" fillId="0" borderId="9" xfId="1" applyFont="1" applyBorder="1"/>
    <xf numFmtId="0" fontId="0" fillId="3" borderId="10" xfId="0" applyFill="1" applyBorder="1"/>
    <xf numFmtId="0" fontId="0" fillId="3" borderId="11" xfId="0" applyFill="1" applyBorder="1"/>
    <xf numFmtId="0" fontId="3" fillId="3" borderId="12" xfId="0" applyFont="1" applyFill="1" applyBorder="1"/>
    <xf numFmtId="0" fontId="4" fillId="2" borderId="13" xfId="2" applyFont="1" applyBorder="1" applyAlignment="1">
      <alignment horizontal="center"/>
    </xf>
    <xf numFmtId="0" fontId="4" fillId="2" borderId="14" xfId="2" applyFont="1" applyBorder="1" applyAlignment="1">
      <alignment horizontal="center"/>
    </xf>
    <xf numFmtId="0" fontId="4" fillId="2" borderId="15" xfId="2" applyFont="1" applyBorder="1" applyAlignment="1">
      <alignment horizontal="center"/>
    </xf>
    <xf numFmtId="44" fontId="0" fillId="0" borderId="0" xfId="0" applyNumberFormat="1"/>
    <xf numFmtId="44" fontId="3" fillId="0" borderId="0" xfId="0" applyNumberFormat="1" applyFont="1"/>
    <xf numFmtId="2" fontId="0" fillId="0" borderId="0" xfId="0" applyNumberFormat="1"/>
    <xf numFmtId="1" fontId="0" fillId="0" borderId="0" xfId="0" applyNumberFormat="1"/>
    <xf numFmtId="0" fontId="3" fillId="0" borderId="0" xfId="0" applyFont="1" applyFill="1" applyBorder="1"/>
    <xf numFmtId="0" fontId="3" fillId="3" borderId="13" xfId="0" applyFont="1" applyFill="1" applyBorder="1"/>
    <xf numFmtId="0" fontId="3" fillId="3" borderId="14" xfId="0" applyFont="1" applyFill="1" applyBorder="1"/>
    <xf numFmtId="44" fontId="3" fillId="3" borderId="15" xfId="0" applyNumberFormat="1" applyFont="1" applyFill="1" applyBorder="1"/>
  </cellXfs>
  <cellStyles count="3">
    <cellStyle name="Currency" xfId="1" builtinId="4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A752-D97B-48F1-9D34-E530A3B01B9A}">
  <dimension ref="A1:W52"/>
  <sheetViews>
    <sheetView tabSelected="1" workbookViewId="0">
      <selection activeCell="W48" sqref="W48"/>
    </sheetView>
  </sheetViews>
  <sheetFormatPr defaultRowHeight="15" x14ac:dyDescent="0.25"/>
  <cols>
    <col min="1" max="1" width="4.140625" bestFit="1" customWidth="1"/>
    <col min="2" max="2" width="16.140625" customWidth="1"/>
    <col min="3" max="3" width="4.85546875" bestFit="1" customWidth="1"/>
    <col min="4" max="4" width="7.42578125" bestFit="1" customWidth="1"/>
    <col min="6" max="6" width="15.28515625" bestFit="1" customWidth="1"/>
    <col min="7" max="7" width="1.7109375" customWidth="1"/>
    <col min="13" max="13" width="15.28515625" bestFit="1" customWidth="1"/>
    <col min="16" max="16" width="32.28515625" bestFit="1" customWidth="1"/>
    <col min="17" max="17" width="15.5703125" customWidth="1"/>
    <col min="23" max="23" width="10.5703125" bestFit="1" customWidth="1"/>
  </cols>
  <sheetData>
    <row r="1" spans="1:23" ht="15.75" thickBot="1" x14ac:dyDescent="0.3">
      <c r="A1" s="21" t="s">
        <v>0</v>
      </c>
      <c r="B1" s="22"/>
      <c r="C1" s="22"/>
      <c r="D1" s="22"/>
      <c r="E1" s="22"/>
      <c r="F1" s="23"/>
      <c r="H1" s="21" t="s">
        <v>0</v>
      </c>
      <c r="I1" s="22"/>
      <c r="J1" s="22"/>
      <c r="K1" s="22"/>
      <c r="L1" s="22"/>
      <c r="M1" s="23"/>
      <c r="P1" t="s">
        <v>20</v>
      </c>
    </row>
    <row r="2" spans="1:23" ht="15.75" thickBot="1" x14ac:dyDescent="0.3">
      <c r="A2" s="2"/>
      <c r="B2" s="2"/>
      <c r="C2" s="2"/>
      <c r="D2" s="2"/>
      <c r="E2" s="2"/>
      <c r="F2" s="2"/>
      <c r="H2" s="2"/>
      <c r="I2" s="2"/>
      <c r="J2" s="2"/>
      <c r="K2" s="2"/>
      <c r="L2" s="2"/>
      <c r="M2" s="2"/>
    </row>
    <row r="3" spans="1:23" x14ac:dyDescent="0.25">
      <c r="A3" s="7" t="s">
        <v>7</v>
      </c>
      <c r="B3" s="8"/>
      <c r="C3" s="8"/>
      <c r="D3" s="8"/>
      <c r="E3" s="8"/>
      <c r="F3" s="9"/>
      <c r="G3" s="18"/>
      <c r="H3" s="7" t="s">
        <v>8</v>
      </c>
      <c r="I3" s="8"/>
      <c r="J3" s="8"/>
      <c r="K3" s="8"/>
      <c r="L3" s="8"/>
      <c r="M3" s="9"/>
      <c r="P3" s="1" t="s">
        <v>15</v>
      </c>
      <c r="Q3" s="1"/>
      <c r="R3" s="1"/>
      <c r="S3" s="1"/>
      <c r="T3" s="1"/>
      <c r="U3" s="1"/>
    </row>
    <row r="4" spans="1:23" x14ac:dyDescent="0.25">
      <c r="A4" s="10" t="s">
        <v>6</v>
      </c>
      <c r="B4" s="5" t="s">
        <v>1</v>
      </c>
      <c r="C4" s="5" t="s">
        <v>2</v>
      </c>
      <c r="D4" s="5" t="s">
        <v>4</v>
      </c>
      <c r="E4" s="5" t="s">
        <v>3</v>
      </c>
      <c r="F4" s="11" t="s">
        <v>5</v>
      </c>
      <c r="G4" s="19"/>
      <c r="H4" s="10" t="s">
        <v>6</v>
      </c>
      <c r="I4" s="5" t="s">
        <v>1</v>
      </c>
      <c r="J4" s="5" t="s">
        <v>2</v>
      </c>
      <c r="K4" s="5" t="s">
        <v>4</v>
      </c>
      <c r="L4" s="5" t="s">
        <v>3</v>
      </c>
      <c r="M4" s="11" t="s">
        <v>5</v>
      </c>
      <c r="P4" s="28" t="s">
        <v>13</v>
      </c>
      <c r="Q4" s="28" t="s">
        <v>14</v>
      </c>
      <c r="R4" s="28" t="s">
        <v>16</v>
      </c>
      <c r="S4" s="28" t="s">
        <v>17</v>
      </c>
      <c r="T4" s="28" t="s">
        <v>18</v>
      </c>
      <c r="U4" s="28" t="s">
        <v>19</v>
      </c>
      <c r="V4" s="28" t="s">
        <v>25</v>
      </c>
      <c r="W4" s="28" t="s">
        <v>30</v>
      </c>
    </row>
    <row r="5" spans="1:23" x14ac:dyDescent="0.25">
      <c r="A5" s="12">
        <v>1</v>
      </c>
      <c r="B5" s="4">
        <v>9.25</v>
      </c>
      <c r="C5" s="4">
        <v>8</v>
      </c>
      <c r="D5" s="4">
        <f>+B5*C5</f>
        <v>74</v>
      </c>
      <c r="E5" s="6">
        <v>2</v>
      </c>
      <c r="F5" s="13">
        <f>+D5*$E$5</f>
        <v>148</v>
      </c>
      <c r="G5" s="19"/>
      <c r="H5" s="12">
        <v>1</v>
      </c>
      <c r="I5" s="4">
        <v>37</v>
      </c>
      <c r="J5" s="4">
        <v>4</v>
      </c>
      <c r="K5" s="4">
        <f>+I5*J5</f>
        <v>148</v>
      </c>
      <c r="L5" s="6">
        <v>2</v>
      </c>
      <c r="M5" s="13">
        <f>+K5*$L$5</f>
        <v>296</v>
      </c>
      <c r="P5" t="s">
        <v>11</v>
      </c>
      <c r="Q5">
        <v>12</v>
      </c>
      <c r="R5">
        <f>+B45+I45</f>
        <v>285.75</v>
      </c>
      <c r="S5">
        <f>+R5*1.1</f>
        <v>314.32500000000005</v>
      </c>
      <c r="T5" s="26">
        <f>+S5/Q5</f>
        <v>26.193750000000005</v>
      </c>
      <c r="U5" s="27">
        <f>ROUND(T5,0)</f>
        <v>26</v>
      </c>
      <c r="V5" s="3">
        <v>5.84</v>
      </c>
      <c r="W5" s="3">
        <f>+U5*V5</f>
        <v>151.84</v>
      </c>
    </row>
    <row r="6" spans="1:23" x14ac:dyDescent="0.25">
      <c r="A6" s="12">
        <f>+A5+1</f>
        <v>2</v>
      </c>
      <c r="B6" s="4">
        <v>9.75</v>
      </c>
      <c r="C6" s="4">
        <v>8</v>
      </c>
      <c r="D6" s="4">
        <f t="shared" ref="D6:D44" si="0">+B6*C6</f>
        <v>78</v>
      </c>
      <c r="E6" s="4"/>
      <c r="F6" s="13">
        <f t="shared" ref="F6:F44" si="1">+D6*$E$5</f>
        <v>156</v>
      </c>
      <c r="G6" s="19"/>
      <c r="H6" s="12">
        <f>+H5+1</f>
        <v>2</v>
      </c>
      <c r="I6" s="4">
        <v>9.5</v>
      </c>
      <c r="J6" s="4">
        <v>4</v>
      </c>
      <c r="K6" s="4">
        <f t="shared" ref="K6:K44" si="2">+I6*J6</f>
        <v>38</v>
      </c>
      <c r="L6" s="4"/>
      <c r="M6" s="13">
        <f t="shared" ref="M6:M44" si="3">+K6*$L$5</f>
        <v>76</v>
      </c>
      <c r="P6" t="s">
        <v>12</v>
      </c>
      <c r="Q6">
        <v>12</v>
      </c>
      <c r="R6">
        <f>+$B$45+$I$45</f>
        <v>285.75</v>
      </c>
      <c r="S6">
        <f>+R6*1.1</f>
        <v>314.32500000000005</v>
      </c>
      <c r="T6" s="26">
        <f>+S6/Q6</f>
        <v>26.193750000000005</v>
      </c>
      <c r="U6" s="27">
        <f>ROUND(T6,0)</f>
        <v>26</v>
      </c>
      <c r="V6" s="3">
        <v>8.98</v>
      </c>
      <c r="W6" s="3">
        <f t="shared" ref="W6:W8" si="4">+U6*V6</f>
        <v>233.48000000000002</v>
      </c>
    </row>
    <row r="7" spans="1:23" x14ac:dyDescent="0.25">
      <c r="A7" s="12">
        <f t="shared" ref="A7:A43" si="5">+A6+1</f>
        <v>3</v>
      </c>
      <c r="B7" s="4">
        <v>37.25</v>
      </c>
      <c r="C7" s="4">
        <v>8</v>
      </c>
      <c r="D7" s="4">
        <f t="shared" si="0"/>
        <v>298</v>
      </c>
      <c r="E7" s="4"/>
      <c r="F7" s="13">
        <f t="shared" si="1"/>
        <v>596</v>
      </c>
      <c r="G7" s="19"/>
      <c r="H7" s="12">
        <f t="shared" ref="H7:H43" si="6">+H6+1</f>
        <v>3</v>
      </c>
      <c r="I7" s="4">
        <v>11.75</v>
      </c>
      <c r="J7" s="4">
        <v>4</v>
      </c>
      <c r="K7" s="4">
        <f t="shared" si="2"/>
        <v>47</v>
      </c>
      <c r="L7" s="4"/>
      <c r="M7" s="13">
        <f t="shared" si="3"/>
        <v>94</v>
      </c>
      <c r="P7" t="s">
        <v>21</v>
      </c>
      <c r="Q7">
        <v>8</v>
      </c>
      <c r="R7">
        <f>+$B$45+$I$45</f>
        <v>285.75</v>
      </c>
      <c r="S7">
        <f>+R7*1.1</f>
        <v>314.32500000000005</v>
      </c>
      <c r="T7">
        <f>+S7/1.25</f>
        <v>251.46000000000004</v>
      </c>
      <c r="U7" s="27">
        <f>ROUND(T7,0)</f>
        <v>251</v>
      </c>
      <c r="V7" s="3">
        <v>3.54</v>
      </c>
      <c r="W7" s="3">
        <f t="shared" si="4"/>
        <v>888.54</v>
      </c>
    </row>
    <row r="8" spans="1:23" x14ac:dyDescent="0.25">
      <c r="A8" s="12">
        <f t="shared" si="5"/>
        <v>4</v>
      </c>
      <c r="B8" s="4">
        <v>21</v>
      </c>
      <c r="C8" s="4">
        <v>8</v>
      </c>
      <c r="D8" s="4">
        <f t="shared" si="0"/>
        <v>168</v>
      </c>
      <c r="E8" s="4"/>
      <c r="F8" s="13">
        <f t="shared" si="1"/>
        <v>336</v>
      </c>
      <c r="G8" s="19"/>
      <c r="H8" s="12">
        <f t="shared" si="6"/>
        <v>4</v>
      </c>
      <c r="I8" s="4">
        <v>10.75</v>
      </c>
      <c r="J8" s="4">
        <v>4</v>
      </c>
      <c r="K8" s="4">
        <f t="shared" si="2"/>
        <v>43</v>
      </c>
      <c r="L8" s="4"/>
      <c r="M8" s="13">
        <f t="shared" si="3"/>
        <v>86</v>
      </c>
      <c r="P8" t="s">
        <v>22</v>
      </c>
      <c r="Q8">
        <v>5</v>
      </c>
      <c r="R8">
        <f>+Q8*6</f>
        <v>30</v>
      </c>
      <c r="S8">
        <f>+R8*1.1</f>
        <v>33</v>
      </c>
      <c r="T8">
        <f>+S8/1</f>
        <v>33</v>
      </c>
      <c r="U8" s="27">
        <f>ROUND(T8,0)</f>
        <v>33</v>
      </c>
      <c r="V8" s="3">
        <v>3.54</v>
      </c>
      <c r="W8" s="3">
        <f t="shared" si="4"/>
        <v>116.82000000000001</v>
      </c>
    </row>
    <row r="9" spans="1:23" x14ac:dyDescent="0.25">
      <c r="A9" s="12">
        <f t="shared" si="5"/>
        <v>5</v>
      </c>
      <c r="B9" s="4">
        <v>9.75</v>
      </c>
      <c r="C9" s="4">
        <v>8</v>
      </c>
      <c r="D9" s="4">
        <f t="shared" si="0"/>
        <v>78</v>
      </c>
      <c r="E9" s="4"/>
      <c r="F9" s="13">
        <f t="shared" si="1"/>
        <v>156</v>
      </c>
      <c r="G9" s="19"/>
      <c r="H9" s="12">
        <f t="shared" si="6"/>
        <v>5</v>
      </c>
      <c r="I9" s="4">
        <v>6.5</v>
      </c>
      <c r="J9" s="4">
        <v>4</v>
      </c>
      <c r="K9" s="4">
        <f t="shared" si="2"/>
        <v>26</v>
      </c>
      <c r="L9" s="4"/>
      <c r="M9" s="13">
        <f t="shared" si="3"/>
        <v>52</v>
      </c>
      <c r="V9" s="3"/>
      <c r="W9" s="3"/>
    </row>
    <row r="10" spans="1:23" x14ac:dyDescent="0.25">
      <c r="A10" s="12">
        <f t="shared" si="5"/>
        <v>6</v>
      </c>
      <c r="B10" s="4">
        <v>4</v>
      </c>
      <c r="C10" s="4">
        <v>8</v>
      </c>
      <c r="D10" s="4">
        <f t="shared" si="0"/>
        <v>32</v>
      </c>
      <c r="E10" s="4"/>
      <c r="F10" s="13">
        <f t="shared" si="1"/>
        <v>64</v>
      </c>
      <c r="G10" s="19"/>
      <c r="H10" s="12">
        <f t="shared" si="6"/>
        <v>6</v>
      </c>
      <c r="I10" s="4"/>
      <c r="J10" s="4"/>
      <c r="K10" s="4">
        <f t="shared" si="2"/>
        <v>0</v>
      </c>
      <c r="L10" s="4"/>
      <c r="M10" s="13">
        <f t="shared" si="3"/>
        <v>0</v>
      </c>
      <c r="V10" s="3"/>
      <c r="W10" s="3"/>
    </row>
    <row r="11" spans="1:23" x14ac:dyDescent="0.25">
      <c r="A11" s="12">
        <f t="shared" si="5"/>
        <v>7</v>
      </c>
      <c r="B11" s="4">
        <v>13</v>
      </c>
      <c r="C11" s="4">
        <v>8</v>
      </c>
      <c r="D11" s="4">
        <f t="shared" si="0"/>
        <v>104</v>
      </c>
      <c r="E11" s="4"/>
      <c r="F11" s="13">
        <f t="shared" si="1"/>
        <v>208</v>
      </c>
      <c r="G11" s="19"/>
      <c r="H11" s="12">
        <f t="shared" si="6"/>
        <v>7</v>
      </c>
      <c r="I11" s="4"/>
      <c r="J11" s="4"/>
      <c r="K11" s="4">
        <f t="shared" si="2"/>
        <v>0</v>
      </c>
      <c r="L11" s="4"/>
      <c r="M11" s="13">
        <f t="shared" si="3"/>
        <v>0</v>
      </c>
      <c r="P11" t="s">
        <v>23</v>
      </c>
      <c r="Q11" s="26">
        <f t="shared" ref="Q11:S11" si="7">SUM(Q5:Q10)</f>
        <v>37</v>
      </c>
      <c r="R11" s="26">
        <f t="shared" si="7"/>
        <v>887.25</v>
      </c>
      <c r="S11" s="26">
        <f t="shared" si="7"/>
        <v>975.97500000000014</v>
      </c>
      <c r="T11" s="26">
        <f>SUM(T5:T10)</f>
        <v>336.84750000000003</v>
      </c>
      <c r="U11" s="26">
        <f>SUM(U5:U10)</f>
        <v>336</v>
      </c>
      <c r="V11" s="3">
        <f>SUM(V5:V10)</f>
        <v>21.9</v>
      </c>
      <c r="W11" s="3"/>
    </row>
    <row r="12" spans="1:23" x14ac:dyDescent="0.25">
      <c r="A12" s="12">
        <f t="shared" si="5"/>
        <v>8</v>
      </c>
      <c r="B12" s="4">
        <v>14</v>
      </c>
      <c r="C12" s="4">
        <v>8</v>
      </c>
      <c r="D12" s="4">
        <f t="shared" si="0"/>
        <v>112</v>
      </c>
      <c r="E12" s="4"/>
      <c r="F12" s="13">
        <f t="shared" si="1"/>
        <v>224</v>
      </c>
      <c r="G12" s="19"/>
      <c r="H12" s="12">
        <f t="shared" si="6"/>
        <v>8</v>
      </c>
      <c r="I12" s="4"/>
      <c r="J12" s="4"/>
      <c r="K12" s="4">
        <f t="shared" si="2"/>
        <v>0</v>
      </c>
      <c r="L12" s="4"/>
      <c r="M12" s="13">
        <f t="shared" si="3"/>
        <v>0</v>
      </c>
      <c r="V12" s="3"/>
      <c r="W12" s="3"/>
    </row>
    <row r="13" spans="1:23" x14ac:dyDescent="0.25">
      <c r="A13" s="12">
        <f t="shared" si="5"/>
        <v>9</v>
      </c>
      <c r="B13" s="4">
        <v>4.5</v>
      </c>
      <c r="C13" s="4">
        <v>8</v>
      </c>
      <c r="D13" s="4">
        <f t="shared" si="0"/>
        <v>36</v>
      </c>
      <c r="E13" s="4"/>
      <c r="F13" s="13">
        <f t="shared" si="1"/>
        <v>72</v>
      </c>
      <c r="G13" s="19"/>
      <c r="H13" s="12">
        <f t="shared" si="6"/>
        <v>9</v>
      </c>
      <c r="I13" s="4"/>
      <c r="J13" s="4"/>
      <c r="K13" s="4">
        <f t="shared" si="2"/>
        <v>0</v>
      </c>
      <c r="L13" s="4"/>
      <c r="M13" s="13">
        <f t="shared" si="3"/>
        <v>0</v>
      </c>
      <c r="P13" t="s">
        <v>24</v>
      </c>
      <c r="Q13">
        <v>8</v>
      </c>
      <c r="R13">
        <f>+U11*Q13</f>
        <v>2688</v>
      </c>
      <c r="S13">
        <f>+R13*1.1</f>
        <v>2956.8</v>
      </c>
      <c r="T13">
        <f>+S13/500</f>
        <v>5.9136000000000006</v>
      </c>
      <c r="U13" s="27">
        <f>ROUND(T13,0)</f>
        <v>6</v>
      </c>
      <c r="V13" s="3">
        <v>36.39</v>
      </c>
      <c r="W13" s="3">
        <f t="shared" ref="W13:W15" si="8">+U13*V13</f>
        <v>218.34</v>
      </c>
    </row>
    <row r="14" spans="1:23" x14ac:dyDescent="0.25">
      <c r="A14" s="12">
        <f t="shared" si="5"/>
        <v>10</v>
      </c>
      <c r="B14" s="4">
        <v>4.5</v>
      </c>
      <c r="C14" s="4">
        <v>8</v>
      </c>
      <c r="D14" s="4">
        <f t="shared" si="0"/>
        <v>36</v>
      </c>
      <c r="E14" s="4"/>
      <c r="F14" s="13">
        <f t="shared" si="1"/>
        <v>72</v>
      </c>
      <c r="G14" s="19"/>
      <c r="H14" s="12">
        <f t="shared" si="6"/>
        <v>10</v>
      </c>
      <c r="I14" s="4"/>
      <c r="J14" s="4"/>
      <c r="K14" s="4">
        <f t="shared" si="2"/>
        <v>0</v>
      </c>
      <c r="L14" s="4"/>
      <c r="M14" s="13">
        <f t="shared" si="3"/>
        <v>0</v>
      </c>
      <c r="P14" t="s">
        <v>27</v>
      </c>
      <c r="Q14" s="27">
        <v>10</v>
      </c>
      <c r="R14" s="27">
        <f>+U6</f>
        <v>26</v>
      </c>
      <c r="S14">
        <f>+R14*Q14</f>
        <v>260</v>
      </c>
      <c r="T14">
        <f>+S14/75</f>
        <v>3.4666666666666668</v>
      </c>
      <c r="U14" s="27">
        <f>ROUND(T14,0)</f>
        <v>3</v>
      </c>
      <c r="V14" s="3">
        <v>30.98</v>
      </c>
      <c r="W14" s="3">
        <f t="shared" si="8"/>
        <v>92.94</v>
      </c>
    </row>
    <row r="15" spans="1:23" x14ac:dyDescent="0.25">
      <c r="A15" s="12">
        <f t="shared" si="5"/>
        <v>11</v>
      </c>
      <c r="B15" s="4">
        <v>10.75</v>
      </c>
      <c r="C15" s="4">
        <v>8</v>
      </c>
      <c r="D15" s="4">
        <f t="shared" si="0"/>
        <v>86</v>
      </c>
      <c r="E15" s="4"/>
      <c r="F15" s="13">
        <f t="shared" si="1"/>
        <v>172</v>
      </c>
      <c r="G15" s="19"/>
      <c r="H15" s="12">
        <f t="shared" si="6"/>
        <v>11</v>
      </c>
      <c r="I15" s="4"/>
      <c r="J15" s="4"/>
      <c r="K15" s="4">
        <f t="shared" si="2"/>
        <v>0</v>
      </c>
      <c r="L15" s="4"/>
      <c r="M15" s="13">
        <f t="shared" si="3"/>
        <v>0</v>
      </c>
      <c r="P15" t="s">
        <v>28</v>
      </c>
      <c r="Q15">
        <v>50</v>
      </c>
      <c r="R15" s="27">
        <f>+R6</f>
        <v>285.75</v>
      </c>
      <c r="S15">
        <f>+R15*1.1</f>
        <v>314.32500000000005</v>
      </c>
      <c r="T15">
        <f>+S15/Q15</f>
        <v>6.2865000000000011</v>
      </c>
      <c r="U15" s="27">
        <f>ROUND(T15,0)</f>
        <v>6</v>
      </c>
      <c r="V15" s="3">
        <v>10.99</v>
      </c>
      <c r="W15" s="3">
        <f t="shared" si="8"/>
        <v>65.94</v>
      </c>
    </row>
    <row r="16" spans="1:23" x14ac:dyDescent="0.25">
      <c r="A16" s="12">
        <f t="shared" si="5"/>
        <v>12</v>
      </c>
      <c r="B16" s="4">
        <v>6.75</v>
      </c>
      <c r="C16" s="4">
        <v>8</v>
      </c>
      <c r="D16" s="4">
        <f t="shared" si="0"/>
        <v>54</v>
      </c>
      <c r="E16" s="4"/>
      <c r="F16" s="13">
        <f t="shared" si="1"/>
        <v>108</v>
      </c>
      <c r="G16" s="19"/>
      <c r="H16" s="12">
        <f t="shared" si="6"/>
        <v>12</v>
      </c>
      <c r="I16" s="4"/>
      <c r="J16" s="4"/>
      <c r="K16" s="4">
        <f t="shared" si="2"/>
        <v>0</v>
      </c>
      <c r="L16" s="4"/>
      <c r="M16" s="13">
        <f t="shared" si="3"/>
        <v>0</v>
      </c>
    </row>
    <row r="17" spans="1:23" x14ac:dyDescent="0.25">
      <c r="A17" s="12">
        <f t="shared" si="5"/>
        <v>13</v>
      </c>
      <c r="B17" s="4">
        <v>10.75</v>
      </c>
      <c r="C17" s="4">
        <v>8</v>
      </c>
      <c r="D17" s="4">
        <f t="shared" si="0"/>
        <v>86</v>
      </c>
      <c r="E17" s="4"/>
      <c r="F17" s="13">
        <f t="shared" si="1"/>
        <v>172</v>
      </c>
      <c r="G17" s="19"/>
      <c r="H17" s="12">
        <f t="shared" si="6"/>
        <v>13</v>
      </c>
      <c r="I17" s="4"/>
      <c r="J17" s="4"/>
      <c r="K17" s="4">
        <f t="shared" si="2"/>
        <v>0</v>
      </c>
      <c r="L17" s="4"/>
      <c r="M17" s="13">
        <f t="shared" si="3"/>
        <v>0</v>
      </c>
    </row>
    <row r="18" spans="1:23" x14ac:dyDescent="0.25">
      <c r="A18" s="12">
        <f t="shared" si="5"/>
        <v>14</v>
      </c>
      <c r="B18" s="4">
        <v>12</v>
      </c>
      <c r="C18" s="4">
        <v>8</v>
      </c>
      <c r="D18" s="4">
        <f t="shared" si="0"/>
        <v>96</v>
      </c>
      <c r="E18" s="4"/>
      <c r="F18" s="13">
        <f t="shared" si="1"/>
        <v>192</v>
      </c>
      <c r="G18" s="19"/>
      <c r="H18" s="12">
        <f t="shared" si="6"/>
        <v>14</v>
      </c>
      <c r="I18" s="4"/>
      <c r="J18" s="4"/>
      <c r="K18" s="4">
        <f t="shared" si="2"/>
        <v>0</v>
      </c>
      <c r="L18" s="4"/>
      <c r="M18" s="13">
        <f t="shared" si="3"/>
        <v>0</v>
      </c>
      <c r="P18" t="s">
        <v>29</v>
      </c>
      <c r="W18" s="24">
        <f>SUM(W5:W17)</f>
        <v>1767.9</v>
      </c>
    </row>
    <row r="19" spans="1:23" x14ac:dyDescent="0.25">
      <c r="A19" s="12">
        <f t="shared" si="5"/>
        <v>15</v>
      </c>
      <c r="B19" s="4">
        <v>9</v>
      </c>
      <c r="C19" s="4">
        <v>8</v>
      </c>
      <c r="D19" s="4">
        <f t="shared" si="0"/>
        <v>72</v>
      </c>
      <c r="E19" s="4"/>
      <c r="F19" s="13">
        <f t="shared" si="1"/>
        <v>144</v>
      </c>
      <c r="G19" s="19"/>
      <c r="H19" s="12">
        <f t="shared" si="6"/>
        <v>15</v>
      </c>
      <c r="I19" s="4"/>
      <c r="J19" s="4"/>
      <c r="K19" s="4">
        <f t="shared" si="2"/>
        <v>0</v>
      </c>
      <c r="L19" s="4"/>
      <c r="M19" s="13">
        <f t="shared" si="3"/>
        <v>0</v>
      </c>
    </row>
    <row r="20" spans="1:23" x14ac:dyDescent="0.25">
      <c r="A20" s="12">
        <f t="shared" si="5"/>
        <v>16</v>
      </c>
      <c r="B20" s="4">
        <v>4</v>
      </c>
      <c r="C20" s="4">
        <v>8</v>
      </c>
      <c r="D20" s="4">
        <f t="shared" si="0"/>
        <v>32</v>
      </c>
      <c r="E20" s="4"/>
      <c r="F20" s="13">
        <f t="shared" si="1"/>
        <v>64</v>
      </c>
      <c r="G20" s="19"/>
      <c r="H20" s="12">
        <f t="shared" si="6"/>
        <v>16</v>
      </c>
      <c r="I20" s="4"/>
      <c r="J20" s="4"/>
      <c r="K20" s="4">
        <f t="shared" si="2"/>
        <v>0</v>
      </c>
      <c r="L20" s="4"/>
      <c r="M20" s="13">
        <f t="shared" si="3"/>
        <v>0</v>
      </c>
      <c r="P20" t="s">
        <v>26</v>
      </c>
      <c r="W20" s="3">
        <f>+W18*5.5%</f>
        <v>97.234500000000011</v>
      </c>
    </row>
    <row r="21" spans="1:23" x14ac:dyDescent="0.25">
      <c r="A21" s="12">
        <f t="shared" si="5"/>
        <v>17</v>
      </c>
      <c r="B21" s="4">
        <v>4</v>
      </c>
      <c r="C21" s="4">
        <v>8</v>
      </c>
      <c r="D21" s="4">
        <f t="shared" si="0"/>
        <v>32</v>
      </c>
      <c r="E21" s="4"/>
      <c r="F21" s="13">
        <f t="shared" si="1"/>
        <v>64</v>
      </c>
      <c r="G21" s="19"/>
      <c r="H21" s="12">
        <f t="shared" si="6"/>
        <v>17</v>
      </c>
      <c r="I21" s="4"/>
      <c r="J21" s="4"/>
      <c r="K21" s="4">
        <f t="shared" si="2"/>
        <v>0</v>
      </c>
      <c r="L21" s="4"/>
      <c r="M21" s="13">
        <f t="shared" si="3"/>
        <v>0</v>
      </c>
    </row>
    <row r="22" spans="1:23" x14ac:dyDescent="0.25">
      <c r="A22" s="12">
        <f t="shared" si="5"/>
        <v>18</v>
      </c>
      <c r="B22" s="4">
        <v>8</v>
      </c>
      <c r="C22" s="4">
        <v>8</v>
      </c>
      <c r="D22" s="4">
        <f t="shared" si="0"/>
        <v>64</v>
      </c>
      <c r="E22" s="4"/>
      <c r="F22" s="13">
        <f t="shared" si="1"/>
        <v>128</v>
      </c>
      <c r="G22" s="19"/>
      <c r="H22" s="12">
        <f t="shared" si="6"/>
        <v>18</v>
      </c>
      <c r="I22" s="4"/>
      <c r="J22" s="4"/>
      <c r="K22" s="4">
        <f t="shared" si="2"/>
        <v>0</v>
      </c>
      <c r="L22" s="4"/>
      <c r="M22" s="13">
        <f t="shared" si="3"/>
        <v>0</v>
      </c>
      <c r="P22" t="s">
        <v>31</v>
      </c>
      <c r="W22" s="24">
        <f>+W18+W20</f>
        <v>1865.1345000000001</v>
      </c>
    </row>
    <row r="23" spans="1:23" x14ac:dyDescent="0.25">
      <c r="A23" s="12">
        <f t="shared" si="5"/>
        <v>19</v>
      </c>
      <c r="B23" s="4">
        <v>8</v>
      </c>
      <c r="C23" s="4">
        <v>8</v>
      </c>
      <c r="D23" s="4">
        <f t="shared" si="0"/>
        <v>64</v>
      </c>
      <c r="E23" s="4"/>
      <c r="F23" s="13">
        <f t="shared" si="1"/>
        <v>128</v>
      </c>
      <c r="G23" s="19"/>
      <c r="H23" s="12">
        <f t="shared" si="6"/>
        <v>19</v>
      </c>
      <c r="I23" s="4"/>
      <c r="J23" s="4"/>
      <c r="K23" s="4">
        <f t="shared" si="2"/>
        <v>0</v>
      </c>
      <c r="L23" s="4"/>
      <c r="M23" s="13">
        <f t="shared" si="3"/>
        <v>0</v>
      </c>
    </row>
    <row r="24" spans="1:23" x14ac:dyDescent="0.25">
      <c r="A24" s="12">
        <f t="shared" si="5"/>
        <v>20</v>
      </c>
      <c r="B24" s="4">
        <v>2</v>
      </c>
      <c r="C24" s="4">
        <v>8</v>
      </c>
      <c r="D24" s="4">
        <f t="shared" si="0"/>
        <v>16</v>
      </c>
      <c r="E24" s="4"/>
      <c r="F24" s="13">
        <f t="shared" si="1"/>
        <v>32</v>
      </c>
      <c r="G24" s="19"/>
      <c r="H24" s="12">
        <f t="shared" si="6"/>
        <v>20</v>
      </c>
      <c r="I24" s="4"/>
      <c r="J24" s="4"/>
      <c r="K24" s="4">
        <f t="shared" si="2"/>
        <v>0</v>
      </c>
      <c r="L24" s="4"/>
      <c r="M24" s="13">
        <f t="shared" si="3"/>
        <v>0</v>
      </c>
      <c r="P24" t="s">
        <v>32</v>
      </c>
      <c r="W24" s="24">
        <f>+F48</f>
        <v>3968</v>
      </c>
    </row>
    <row r="25" spans="1:23" ht="15.75" thickBot="1" x14ac:dyDescent="0.3">
      <c r="A25" s="12">
        <f t="shared" si="5"/>
        <v>21</v>
      </c>
      <c r="B25" s="4">
        <v>6</v>
      </c>
      <c r="C25" s="4">
        <v>8</v>
      </c>
      <c r="D25" s="4">
        <f t="shared" si="0"/>
        <v>48</v>
      </c>
      <c r="E25" s="4"/>
      <c r="F25" s="13">
        <f t="shared" si="1"/>
        <v>96</v>
      </c>
      <c r="G25" s="19"/>
      <c r="H25" s="12">
        <f t="shared" si="6"/>
        <v>21</v>
      </c>
      <c r="I25" s="4"/>
      <c r="J25" s="4"/>
      <c r="K25" s="4">
        <f t="shared" si="2"/>
        <v>0</v>
      </c>
      <c r="L25" s="4"/>
      <c r="M25" s="13">
        <f t="shared" si="3"/>
        <v>0</v>
      </c>
    </row>
    <row r="26" spans="1:23" ht="15.75" thickBot="1" x14ac:dyDescent="0.3">
      <c r="A26" s="12">
        <f t="shared" si="5"/>
        <v>22</v>
      </c>
      <c r="B26" s="4">
        <v>2</v>
      </c>
      <c r="C26" s="4">
        <v>8</v>
      </c>
      <c r="D26" s="4">
        <f t="shared" si="0"/>
        <v>16</v>
      </c>
      <c r="E26" s="4"/>
      <c r="F26" s="13">
        <f t="shared" si="1"/>
        <v>32</v>
      </c>
      <c r="G26" s="19"/>
      <c r="H26" s="12">
        <f t="shared" si="6"/>
        <v>22</v>
      </c>
      <c r="I26" s="4"/>
      <c r="J26" s="4"/>
      <c r="K26" s="4">
        <f t="shared" si="2"/>
        <v>0</v>
      </c>
      <c r="L26" s="4"/>
      <c r="M26" s="13">
        <f t="shared" si="3"/>
        <v>0</v>
      </c>
      <c r="P26" s="29" t="s">
        <v>33</v>
      </c>
      <c r="Q26" s="30"/>
      <c r="R26" s="30"/>
      <c r="S26" s="30"/>
      <c r="T26" s="30"/>
      <c r="U26" s="30"/>
      <c r="V26" s="30"/>
      <c r="W26" s="31">
        <f>+W22+W24</f>
        <v>5833.1345000000001</v>
      </c>
    </row>
    <row r="27" spans="1:23" hidden="1" x14ac:dyDescent="0.25">
      <c r="A27" s="12">
        <f t="shared" si="5"/>
        <v>23</v>
      </c>
      <c r="B27" s="4"/>
      <c r="C27" s="4"/>
      <c r="D27" s="4">
        <f t="shared" si="0"/>
        <v>0</v>
      </c>
      <c r="E27" s="4"/>
      <c r="F27" s="13">
        <f t="shared" si="1"/>
        <v>0</v>
      </c>
      <c r="G27" s="19"/>
      <c r="H27" s="12">
        <f t="shared" si="6"/>
        <v>23</v>
      </c>
      <c r="I27" s="4"/>
      <c r="J27" s="4"/>
      <c r="K27" s="4">
        <f t="shared" si="2"/>
        <v>0</v>
      </c>
      <c r="L27" s="4"/>
      <c r="M27" s="13">
        <f t="shared" si="3"/>
        <v>0</v>
      </c>
    </row>
    <row r="28" spans="1:23" hidden="1" x14ac:dyDescent="0.25">
      <c r="A28" s="12">
        <f t="shared" si="5"/>
        <v>24</v>
      </c>
      <c r="B28" s="4"/>
      <c r="C28" s="4"/>
      <c r="D28" s="4">
        <f t="shared" si="0"/>
        <v>0</v>
      </c>
      <c r="E28" s="4"/>
      <c r="F28" s="13">
        <f t="shared" si="1"/>
        <v>0</v>
      </c>
      <c r="G28" s="19"/>
      <c r="H28" s="12">
        <f t="shared" si="6"/>
        <v>24</v>
      </c>
      <c r="I28" s="4"/>
      <c r="J28" s="4"/>
      <c r="K28" s="4">
        <f t="shared" si="2"/>
        <v>0</v>
      </c>
      <c r="L28" s="4"/>
      <c r="M28" s="13">
        <f t="shared" si="3"/>
        <v>0</v>
      </c>
    </row>
    <row r="29" spans="1:23" hidden="1" x14ac:dyDescent="0.25">
      <c r="A29" s="12">
        <f t="shared" si="5"/>
        <v>25</v>
      </c>
      <c r="B29" s="4"/>
      <c r="C29" s="4"/>
      <c r="D29" s="4">
        <f t="shared" si="0"/>
        <v>0</v>
      </c>
      <c r="E29" s="4"/>
      <c r="F29" s="13">
        <f t="shared" si="1"/>
        <v>0</v>
      </c>
      <c r="G29" s="19"/>
      <c r="H29" s="12">
        <f t="shared" si="6"/>
        <v>25</v>
      </c>
      <c r="I29" s="4"/>
      <c r="J29" s="4"/>
      <c r="K29" s="4">
        <f t="shared" si="2"/>
        <v>0</v>
      </c>
      <c r="L29" s="4"/>
      <c r="M29" s="13">
        <f t="shared" si="3"/>
        <v>0</v>
      </c>
    </row>
    <row r="30" spans="1:23" hidden="1" x14ac:dyDescent="0.25">
      <c r="A30" s="12">
        <f t="shared" si="5"/>
        <v>26</v>
      </c>
      <c r="B30" s="4"/>
      <c r="C30" s="4"/>
      <c r="D30" s="4">
        <f t="shared" si="0"/>
        <v>0</v>
      </c>
      <c r="E30" s="4"/>
      <c r="F30" s="13">
        <f t="shared" si="1"/>
        <v>0</v>
      </c>
      <c r="G30" s="19"/>
      <c r="H30" s="12">
        <f t="shared" si="6"/>
        <v>26</v>
      </c>
      <c r="I30" s="4"/>
      <c r="J30" s="4"/>
      <c r="K30" s="4">
        <f t="shared" si="2"/>
        <v>0</v>
      </c>
      <c r="L30" s="4"/>
      <c r="M30" s="13">
        <f t="shared" si="3"/>
        <v>0</v>
      </c>
    </row>
    <row r="31" spans="1:23" hidden="1" x14ac:dyDescent="0.25">
      <c r="A31" s="12">
        <f t="shared" si="5"/>
        <v>27</v>
      </c>
      <c r="B31" s="4"/>
      <c r="C31" s="4"/>
      <c r="D31" s="4">
        <f t="shared" si="0"/>
        <v>0</v>
      </c>
      <c r="E31" s="4"/>
      <c r="F31" s="13">
        <f t="shared" si="1"/>
        <v>0</v>
      </c>
      <c r="G31" s="19"/>
      <c r="H31" s="12">
        <f t="shared" si="6"/>
        <v>27</v>
      </c>
      <c r="I31" s="4"/>
      <c r="J31" s="4"/>
      <c r="K31" s="4">
        <f t="shared" si="2"/>
        <v>0</v>
      </c>
      <c r="L31" s="4"/>
      <c r="M31" s="13">
        <f t="shared" si="3"/>
        <v>0</v>
      </c>
    </row>
    <row r="32" spans="1:23" hidden="1" x14ac:dyDescent="0.25">
      <c r="A32" s="12">
        <f t="shared" si="5"/>
        <v>28</v>
      </c>
      <c r="B32" s="4"/>
      <c r="C32" s="4"/>
      <c r="D32" s="4">
        <f t="shared" si="0"/>
        <v>0</v>
      </c>
      <c r="E32" s="4"/>
      <c r="F32" s="13">
        <f t="shared" si="1"/>
        <v>0</v>
      </c>
      <c r="G32" s="19"/>
      <c r="H32" s="12">
        <f t="shared" si="6"/>
        <v>28</v>
      </c>
      <c r="I32" s="4"/>
      <c r="J32" s="4"/>
      <c r="K32" s="4">
        <f t="shared" si="2"/>
        <v>0</v>
      </c>
      <c r="L32" s="4"/>
      <c r="M32" s="13">
        <f t="shared" si="3"/>
        <v>0</v>
      </c>
    </row>
    <row r="33" spans="1:18" hidden="1" x14ac:dyDescent="0.25">
      <c r="A33" s="12">
        <f t="shared" si="5"/>
        <v>29</v>
      </c>
      <c r="B33" s="4"/>
      <c r="C33" s="4"/>
      <c r="D33" s="4">
        <f t="shared" si="0"/>
        <v>0</v>
      </c>
      <c r="E33" s="4"/>
      <c r="F33" s="13">
        <f t="shared" si="1"/>
        <v>0</v>
      </c>
      <c r="G33" s="19"/>
      <c r="H33" s="12">
        <f t="shared" si="6"/>
        <v>29</v>
      </c>
      <c r="I33" s="4"/>
      <c r="J33" s="4"/>
      <c r="K33" s="4">
        <f t="shared" si="2"/>
        <v>0</v>
      </c>
      <c r="L33" s="4"/>
      <c r="M33" s="13">
        <f t="shared" si="3"/>
        <v>0</v>
      </c>
    </row>
    <row r="34" spans="1:18" hidden="1" x14ac:dyDescent="0.25">
      <c r="A34" s="12">
        <f t="shared" si="5"/>
        <v>30</v>
      </c>
      <c r="B34" s="4"/>
      <c r="C34" s="4"/>
      <c r="D34" s="4">
        <f t="shared" si="0"/>
        <v>0</v>
      </c>
      <c r="E34" s="4"/>
      <c r="F34" s="13">
        <f t="shared" si="1"/>
        <v>0</v>
      </c>
      <c r="G34" s="19"/>
      <c r="H34" s="12">
        <f t="shared" si="6"/>
        <v>30</v>
      </c>
      <c r="I34" s="4"/>
      <c r="J34" s="4"/>
      <c r="K34" s="4">
        <f t="shared" si="2"/>
        <v>0</v>
      </c>
      <c r="L34" s="4"/>
      <c r="M34" s="13">
        <f t="shared" si="3"/>
        <v>0</v>
      </c>
    </row>
    <row r="35" spans="1:18" hidden="1" x14ac:dyDescent="0.25">
      <c r="A35" s="12">
        <f t="shared" si="5"/>
        <v>31</v>
      </c>
      <c r="B35" s="4"/>
      <c r="C35" s="4"/>
      <c r="D35" s="4">
        <f t="shared" si="0"/>
        <v>0</v>
      </c>
      <c r="E35" s="4"/>
      <c r="F35" s="13">
        <f t="shared" si="1"/>
        <v>0</v>
      </c>
      <c r="G35" s="19"/>
      <c r="H35" s="12">
        <f t="shared" si="6"/>
        <v>31</v>
      </c>
      <c r="I35" s="4"/>
      <c r="J35" s="4"/>
      <c r="K35" s="4">
        <f t="shared" si="2"/>
        <v>0</v>
      </c>
      <c r="L35" s="4"/>
      <c r="M35" s="13">
        <f t="shared" si="3"/>
        <v>0</v>
      </c>
    </row>
    <row r="36" spans="1:18" hidden="1" x14ac:dyDescent="0.25">
      <c r="A36" s="12">
        <f t="shared" si="5"/>
        <v>32</v>
      </c>
      <c r="B36" s="4"/>
      <c r="C36" s="4"/>
      <c r="D36" s="4">
        <f t="shared" si="0"/>
        <v>0</v>
      </c>
      <c r="E36" s="4"/>
      <c r="F36" s="13">
        <f>+D36*$E$5</f>
        <v>0</v>
      </c>
      <c r="G36" s="19"/>
      <c r="H36" s="12">
        <f t="shared" si="6"/>
        <v>32</v>
      </c>
      <c r="I36" s="4"/>
      <c r="J36" s="4"/>
      <c r="K36" s="4">
        <f t="shared" si="2"/>
        <v>0</v>
      </c>
      <c r="L36" s="4"/>
      <c r="M36" s="13">
        <f t="shared" si="3"/>
        <v>0</v>
      </c>
    </row>
    <row r="37" spans="1:18" hidden="1" x14ac:dyDescent="0.25">
      <c r="A37" s="12">
        <f t="shared" si="5"/>
        <v>33</v>
      </c>
      <c r="B37" s="4"/>
      <c r="C37" s="4"/>
      <c r="D37" s="4">
        <f t="shared" si="0"/>
        <v>0</v>
      </c>
      <c r="E37" s="4"/>
      <c r="F37" s="13">
        <f t="shared" si="1"/>
        <v>0</v>
      </c>
      <c r="G37" s="19"/>
      <c r="H37" s="12">
        <f t="shared" si="6"/>
        <v>33</v>
      </c>
      <c r="I37" s="4"/>
      <c r="J37" s="4"/>
      <c r="K37" s="4">
        <f t="shared" si="2"/>
        <v>0</v>
      </c>
      <c r="L37" s="4"/>
      <c r="M37" s="13">
        <f t="shared" si="3"/>
        <v>0</v>
      </c>
    </row>
    <row r="38" spans="1:18" hidden="1" x14ac:dyDescent="0.25">
      <c r="A38" s="12">
        <f t="shared" si="5"/>
        <v>34</v>
      </c>
      <c r="B38" s="4"/>
      <c r="C38" s="4"/>
      <c r="D38" s="4">
        <f t="shared" si="0"/>
        <v>0</v>
      </c>
      <c r="E38" s="4"/>
      <c r="F38" s="13">
        <f t="shared" si="1"/>
        <v>0</v>
      </c>
      <c r="G38" s="19"/>
      <c r="H38" s="12">
        <f t="shared" si="6"/>
        <v>34</v>
      </c>
      <c r="I38" s="4"/>
      <c r="J38" s="4"/>
      <c r="K38" s="4">
        <f t="shared" si="2"/>
        <v>0</v>
      </c>
      <c r="L38" s="4"/>
      <c r="M38" s="13">
        <f t="shared" si="3"/>
        <v>0</v>
      </c>
    </row>
    <row r="39" spans="1:18" hidden="1" x14ac:dyDescent="0.25">
      <c r="A39" s="12">
        <f t="shared" si="5"/>
        <v>35</v>
      </c>
      <c r="B39" s="4"/>
      <c r="C39" s="4"/>
      <c r="D39" s="4">
        <f t="shared" si="0"/>
        <v>0</v>
      </c>
      <c r="E39" s="4"/>
      <c r="F39" s="13">
        <f t="shared" si="1"/>
        <v>0</v>
      </c>
      <c r="G39" s="19"/>
      <c r="H39" s="12">
        <f t="shared" si="6"/>
        <v>35</v>
      </c>
      <c r="I39" s="4"/>
      <c r="J39" s="4"/>
      <c r="K39" s="4">
        <f t="shared" si="2"/>
        <v>0</v>
      </c>
      <c r="L39" s="4"/>
      <c r="M39" s="13">
        <f t="shared" si="3"/>
        <v>0</v>
      </c>
    </row>
    <row r="40" spans="1:18" hidden="1" x14ac:dyDescent="0.25">
      <c r="A40" s="12">
        <f t="shared" si="5"/>
        <v>36</v>
      </c>
      <c r="B40" s="4"/>
      <c r="C40" s="4"/>
      <c r="D40" s="4">
        <f t="shared" si="0"/>
        <v>0</v>
      </c>
      <c r="E40" s="4"/>
      <c r="F40" s="13">
        <f t="shared" si="1"/>
        <v>0</v>
      </c>
      <c r="G40" s="19"/>
      <c r="H40" s="12">
        <f t="shared" si="6"/>
        <v>36</v>
      </c>
      <c r="I40" s="4"/>
      <c r="J40" s="4"/>
      <c r="K40" s="4">
        <f t="shared" si="2"/>
        <v>0</v>
      </c>
      <c r="L40" s="4"/>
      <c r="M40" s="13">
        <f t="shared" si="3"/>
        <v>0</v>
      </c>
    </row>
    <row r="41" spans="1:18" hidden="1" x14ac:dyDescent="0.25">
      <c r="A41" s="12">
        <f t="shared" si="5"/>
        <v>37</v>
      </c>
      <c r="B41" s="4"/>
      <c r="C41" s="4"/>
      <c r="D41" s="4">
        <f t="shared" si="0"/>
        <v>0</v>
      </c>
      <c r="E41" s="4"/>
      <c r="F41" s="13">
        <f t="shared" si="1"/>
        <v>0</v>
      </c>
      <c r="G41" s="19"/>
      <c r="H41" s="12">
        <f t="shared" si="6"/>
        <v>37</v>
      </c>
      <c r="I41" s="4"/>
      <c r="J41" s="4"/>
      <c r="K41" s="4">
        <f t="shared" si="2"/>
        <v>0</v>
      </c>
      <c r="L41" s="4"/>
      <c r="M41" s="13">
        <f t="shared" si="3"/>
        <v>0</v>
      </c>
    </row>
    <row r="42" spans="1:18" hidden="1" x14ac:dyDescent="0.25">
      <c r="A42" s="12">
        <f t="shared" si="5"/>
        <v>38</v>
      </c>
      <c r="B42" s="4"/>
      <c r="C42" s="4"/>
      <c r="D42" s="4">
        <f t="shared" si="0"/>
        <v>0</v>
      </c>
      <c r="E42" s="4"/>
      <c r="F42" s="13">
        <f t="shared" si="1"/>
        <v>0</v>
      </c>
      <c r="G42" s="19"/>
      <c r="H42" s="12">
        <f t="shared" si="6"/>
        <v>38</v>
      </c>
      <c r="I42" s="4"/>
      <c r="J42" s="4"/>
      <c r="K42" s="4">
        <f t="shared" si="2"/>
        <v>0</v>
      </c>
      <c r="L42" s="4"/>
      <c r="M42" s="13">
        <f t="shared" si="3"/>
        <v>0</v>
      </c>
    </row>
    <row r="43" spans="1:18" hidden="1" x14ac:dyDescent="0.25">
      <c r="A43" s="12">
        <f t="shared" si="5"/>
        <v>39</v>
      </c>
      <c r="B43" s="4"/>
      <c r="C43" s="4"/>
      <c r="D43" s="4">
        <f t="shared" si="0"/>
        <v>0</v>
      </c>
      <c r="E43" s="4"/>
      <c r="F43" s="13">
        <f t="shared" si="1"/>
        <v>0</v>
      </c>
      <c r="G43" s="19"/>
      <c r="H43" s="12">
        <f t="shared" si="6"/>
        <v>39</v>
      </c>
      <c r="I43" s="4"/>
      <c r="J43" s="4"/>
      <c r="K43" s="4">
        <f t="shared" si="2"/>
        <v>0</v>
      </c>
      <c r="L43" s="4"/>
      <c r="M43" s="13">
        <f t="shared" si="3"/>
        <v>0</v>
      </c>
    </row>
    <row r="44" spans="1:18" hidden="1" x14ac:dyDescent="0.25">
      <c r="A44" s="12">
        <f>+A43+1</f>
        <v>40</v>
      </c>
      <c r="B44" s="4"/>
      <c r="C44" s="4"/>
      <c r="D44" s="4">
        <f t="shared" si="0"/>
        <v>0</v>
      </c>
      <c r="E44" s="4"/>
      <c r="F44" s="13">
        <f t="shared" si="1"/>
        <v>0</v>
      </c>
      <c r="G44" s="19"/>
      <c r="H44" s="12">
        <f>+H43+1</f>
        <v>40</v>
      </c>
      <c r="I44" s="4"/>
      <c r="J44" s="4"/>
      <c r="K44" s="4">
        <f t="shared" si="2"/>
        <v>0</v>
      </c>
      <c r="L44" s="4"/>
      <c r="M44" s="13">
        <f t="shared" si="3"/>
        <v>0</v>
      </c>
    </row>
    <row r="45" spans="1:18" ht="15.75" thickBot="1" x14ac:dyDescent="0.3">
      <c r="A45" s="14"/>
      <c r="B45" s="15">
        <f>SUM(B5:B44)</f>
        <v>210.25</v>
      </c>
      <c r="C45" s="15">
        <f t="shared" ref="C45:M45" si="9">SUM(C5:C44)</f>
        <v>176</v>
      </c>
      <c r="D45" s="15">
        <f t="shared" si="9"/>
        <v>1682</v>
      </c>
      <c r="E45" s="16">
        <f t="shared" si="9"/>
        <v>2</v>
      </c>
      <c r="F45" s="17">
        <f t="shared" si="9"/>
        <v>3364</v>
      </c>
      <c r="G45" s="20"/>
      <c r="H45" s="14">
        <f t="shared" si="9"/>
        <v>820</v>
      </c>
      <c r="I45" s="15">
        <f t="shared" si="9"/>
        <v>75.5</v>
      </c>
      <c r="J45" s="15">
        <f t="shared" si="9"/>
        <v>20</v>
      </c>
      <c r="K45" s="15">
        <f t="shared" si="9"/>
        <v>302</v>
      </c>
      <c r="L45" s="16">
        <f t="shared" si="9"/>
        <v>2</v>
      </c>
      <c r="M45" s="17">
        <f t="shared" si="9"/>
        <v>604</v>
      </c>
      <c r="N45" s="2"/>
      <c r="O45" s="2"/>
      <c r="P45" s="2"/>
      <c r="Q45" s="2"/>
      <c r="R45" s="2"/>
    </row>
    <row r="46" spans="1:18" x14ac:dyDescent="0.25">
      <c r="P46" t="s">
        <v>34</v>
      </c>
    </row>
    <row r="48" spans="1:18" x14ac:dyDescent="0.25">
      <c r="B48" s="2" t="s">
        <v>9</v>
      </c>
      <c r="C48" s="2"/>
      <c r="D48" s="2"/>
      <c r="E48" s="2">
        <f>+D45+K45</f>
        <v>1984</v>
      </c>
      <c r="F48" s="25">
        <f>+F45+M45</f>
        <v>3968</v>
      </c>
      <c r="P48" t="s">
        <v>35</v>
      </c>
    </row>
    <row r="49" spans="2:23" x14ac:dyDescent="0.25">
      <c r="B49" t="s">
        <v>10</v>
      </c>
      <c r="F49">
        <f>+F48*0.2</f>
        <v>793.6</v>
      </c>
    </row>
    <row r="50" spans="2:23" x14ac:dyDescent="0.25">
      <c r="F50" s="24">
        <f>+F48-F49</f>
        <v>3174.4</v>
      </c>
      <c r="P50" t="s">
        <v>36</v>
      </c>
      <c r="W50" s="3">
        <f>+W26*10%</f>
        <v>583.31344999999999</v>
      </c>
    </row>
    <row r="52" spans="2:23" x14ac:dyDescent="0.25">
      <c r="P52" t="s">
        <v>37</v>
      </c>
      <c r="W52" s="24">
        <f>SUM(W26:W51)</f>
        <v>6416.4479499999998</v>
      </c>
    </row>
  </sheetData>
  <mergeCells count="5">
    <mergeCell ref="A3:F3"/>
    <mergeCell ref="A1:F1"/>
    <mergeCell ref="H3:M3"/>
    <mergeCell ref="H1:M1"/>
    <mergeCell ref="P3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Cortez</dc:creator>
  <cp:lastModifiedBy>Ana Cortez</cp:lastModifiedBy>
  <dcterms:created xsi:type="dcterms:W3CDTF">2025-09-20T14:38:51Z</dcterms:created>
  <dcterms:modified xsi:type="dcterms:W3CDTF">2025-09-20T16:00:16Z</dcterms:modified>
</cp:coreProperties>
</file>